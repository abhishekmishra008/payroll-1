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tables/table2.xml" ContentType="application/vnd.openxmlformats-officedocument.spreadsheetml.table+xml"/>
  <Override PartName="/xl/charts/chart2.xml" ContentType="application/vnd.openxmlformats-officedocument.drawingml.chart+xml"/>
  <Override PartName="/xl/drawings/drawing3.xml" ContentType="application/vnd.openxmlformats-officedocument.drawing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4.xml" ContentType="application/vnd.openxmlformats-officedocument.drawing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drawings/drawing5.xml" ContentType="application/vnd.openxmlformats-officedocument.drawing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drawings/drawing6.xml" ContentType="application/vnd.openxmlformats-officedocument.drawing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xl/tables/table17.xml" ContentType="application/vnd.openxmlformats-officedocument.spreadsheetml.table+xml"/>
  <Override PartName="/xl/tables/table18.xml" ContentType="application/vnd.openxmlformats-officedocument.spreadsheetml.table+xml"/>
  <Override PartName="/xl/tables/table19.xml" ContentType="application/vnd.openxmlformats-officedocument.spreadsheetml.table+xml"/>
  <Override PartName="/xl/tables/table20.xml" ContentType="application/vnd.openxmlformats-officedocument.spreadsheetml.table+xml"/>
  <Override PartName="/xl/tables/table21.xml" ContentType="application/vnd.openxmlformats-officedocument.spreadsheetml.table+xml"/>
  <Override PartName="/xl/tables/table22.xml" ContentType="application/vnd.openxmlformats-officedocument.spreadsheetml.table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drawings/drawing7.xml" ContentType="application/vnd.openxmlformats-officedocument.drawing+xml"/>
  <Override PartName="/xl/tables/table23.xml" ContentType="application/vnd.openxmlformats-officedocument.spreadsheetml.table+xml"/>
  <Override PartName="/xl/charts/chart15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480" yWindow="345" windowWidth="19875" windowHeight="7725" firstSheet="3" activeTab="6"/>
  </bookViews>
  <sheets>
    <sheet name="Offices service perf. report" sheetId="1" r:id="rId1"/>
    <sheet name="Office service P.R. Quarterly" sheetId="2" r:id="rId2"/>
    <sheet name="Office wise excution report" sheetId="3" r:id="rId3"/>
    <sheet name="Office execution Rep. Quarterly" sheetId="4" r:id="rId4"/>
    <sheet name="All offices wise leave taken " sheetId="5" r:id="rId5"/>
    <sheet name="office wise quarterly leave re." sheetId="6" r:id="rId6"/>
    <sheet name="Course Overview" sheetId="7" r:id="rId7"/>
  </sheets>
  <calcPr calcId="144525"/>
</workbook>
</file>

<file path=xl/calcChain.xml><?xml version="1.0" encoding="utf-8"?>
<calcChain xmlns="http://schemas.openxmlformats.org/spreadsheetml/2006/main">
  <c r="E6" i="7" l="1"/>
  <c r="G6" i="7" s="1"/>
  <c r="E5" i="7"/>
  <c r="G5" i="7" s="1"/>
  <c r="F6" i="7"/>
  <c r="F5" i="7"/>
  <c r="G4" i="7"/>
  <c r="F4" i="7"/>
  <c r="G25" i="4" l="1"/>
  <c r="G26" i="4"/>
  <c r="G27" i="4"/>
  <c r="F25" i="4"/>
  <c r="F26" i="4"/>
  <c r="F27" i="4"/>
  <c r="E25" i="4"/>
  <c r="E26" i="4"/>
  <c r="E27" i="4"/>
  <c r="E99" i="6"/>
  <c r="E100" i="6"/>
  <c r="E101" i="6"/>
  <c r="D102" i="6"/>
  <c r="E78" i="6"/>
  <c r="E79" i="6"/>
  <c r="E80" i="6"/>
  <c r="D81" i="6"/>
  <c r="E58" i="6"/>
  <c r="E59" i="6"/>
  <c r="E60" i="6"/>
  <c r="D61" i="6"/>
  <c r="E38" i="6"/>
  <c r="E39" i="6"/>
  <c r="E40" i="6"/>
  <c r="D41" i="6"/>
  <c r="C23" i="6" l="1"/>
  <c r="D20" i="6" s="1"/>
  <c r="D16" i="6"/>
  <c r="E4" i="6" s="1"/>
  <c r="C25" i="5"/>
  <c r="D22" i="5" s="1"/>
  <c r="E11" i="6" l="1"/>
  <c r="D24" i="5"/>
  <c r="E15" i="6"/>
  <c r="E7" i="6"/>
  <c r="D23" i="5"/>
  <c r="E14" i="6"/>
  <c r="E10" i="6"/>
  <c r="E6" i="6"/>
  <c r="D22" i="6"/>
  <c r="E13" i="6"/>
  <c r="E9" i="6"/>
  <c r="E5" i="6"/>
  <c r="D21" i="6"/>
  <c r="E12" i="6"/>
  <c r="E8" i="6"/>
  <c r="E9" i="5" l="1"/>
  <c r="E13" i="5"/>
  <c r="D16" i="5"/>
  <c r="E7" i="5" s="1"/>
  <c r="F6" i="4"/>
  <c r="F5" i="4"/>
  <c r="E6" i="4"/>
  <c r="G6" i="4" s="1"/>
  <c r="E5" i="4"/>
  <c r="G5" i="4" s="1"/>
  <c r="G4" i="4"/>
  <c r="F28" i="3"/>
  <c r="E28" i="3"/>
  <c r="G28" i="3" s="1"/>
  <c r="G27" i="3"/>
  <c r="F27" i="3"/>
  <c r="G26" i="3"/>
  <c r="G7" i="3"/>
  <c r="F7" i="3"/>
  <c r="G5" i="3"/>
  <c r="F6" i="3"/>
  <c r="E6" i="3"/>
  <c r="G6" i="3" s="1"/>
  <c r="E14" i="5" l="1"/>
  <c r="E10" i="5"/>
  <c r="E6" i="5"/>
  <c r="E5" i="5"/>
  <c r="E12" i="5"/>
  <c r="E8" i="5"/>
  <c r="E4" i="5"/>
  <c r="E15" i="5"/>
  <c r="E11" i="5"/>
  <c r="F7" i="2" l="1"/>
  <c r="E7" i="2"/>
  <c r="F6" i="2"/>
  <c r="E6" i="2"/>
  <c r="F7" i="1"/>
  <c r="F6" i="1"/>
  <c r="E6" i="1"/>
</calcChain>
</file>

<file path=xl/sharedStrings.xml><?xml version="1.0" encoding="utf-8"?>
<sst xmlns="http://schemas.openxmlformats.org/spreadsheetml/2006/main" count="159" uniqueCount="41">
  <si>
    <t>Office name</t>
  </si>
  <si>
    <t>Enquiry received</t>
  </si>
  <si>
    <t>Enquiry converted</t>
  </si>
  <si>
    <t>Difference</t>
  </si>
  <si>
    <t>Win Rate</t>
  </si>
  <si>
    <t>ABC</t>
  </si>
  <si>
    <t>DEF</t>
  </si>
  <si>
    <t>GHI</t>
  </si>
  <si>
    <t>Month</t>
  </si>
  <si>
    <t>April</t>
  </si>
  <si>
    <t>May</t>
  </si>
  <si>
    <t>June</t>
  </si>
  <si>
    <t>Office wise execution report - Monthly - April</t>
  </si>
  <si>
    <t>Due-date tasks allotted</t>
  </si>
  <si>
    <t>Due-date tasks completed</t>
  </si>
  <si>
    <t>Remaining</t>
  </si>
  <si>
    <t>%ge of completed to total allotted</t>
  </si>
  <si>
    <t>%ge of remaining to total allotted</t>
  </si>
  <si>
    <t>Project Assignment tasks alotted</t>
  </si>
  <si>
    <t>Projecet assignment tasks completed</t>
  </si>
  <si>
    <t>Office wise execution report - Quarterly - ABC</t>
  </si>
  <si>
    <t>Office wise service performance report - Monthly - April</t>
  </si>
  <si>
    <t>Office wise service performance report - Quarterly -ABC</t>
  </si>
  <si>
    <t>Leave Type</t>
  </si>
  <si>
    <t>No. of days</t>
  </si>
  <si>
    <t>Ratio</t>
  </si>
  <si>
    <t>Casual</t>
  </si>
  <si>
    <t>Sick Leave</t>
  </si>
  <si>
    <t>Parental Leave</t>
  </si>
  <si>
    <t>Compensatory Leave</t>
  </si>
  <si>
    <t>Total Leave</t>
  </si>
  <si>
    <t>All offices wise leave taken - Monthly - April</t>
  </si>
  <si>
    <t>Office wise quarterly leave report</t>
  </si>
  <si>
    <t>Project assignment tasks allotted</t>
  </si>
  <si>
    <t>Project assignment tasks completed</t>
  </si>
  <si>
    <t>Course overview of all the offices</t>
  </si>
  <si>
    <t>Courses taken</t>
  </si>
  <si>
    <t>Completed courses</t>
  </si>
  <si>
    <t>Pending courses</t>
  </si>
  <si>
    <t>Ratio of completed courses to total courses taken</t>
  </si>
  <si>
    <t>Ratio of pending courses to total courses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</si>
</sst>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1"/>
      <name val="Calibri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4"/>
        <bgColor theme="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4" tint="0.79998168889431442"/>
        <bgColor indexed="64"/>
      </patternFill>
    </fill>
  </fills>
  <borders count="8">
    <border>
      <left/>
      <right/>
      <top/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 style="thin">
        <color theme="4" tint="0.39997558519241921"/>
      </left>
      <right/>
      <top/>
      <bottom style="thin">
        <color theme="4" tint="0.39997558519241921"/>
      </bottom>
      <diagonal/>
    </border>
    <border>
      <left/>
      <right/>
      <top/>
      <bottom style="thin">
        <color theme="4" tint="0.39997558519241921"/>
      </bottom>
      <diagonal/>
    </border>
    <border>
      <left/>
      <right style="thin">
        <color theme="4" tint="0.39997558519241921"/>
      </right>
      <top/>
      <bottom style="thin">
        <color theme="4" tint="0.39997558519241921"/>
      </bottom>
      <diagonal/>
    </border>
    <border>
      <left/>
      <right/>
      <top style="thin">
        <color theme="4" tint="0.39997558519241921"/>
      </top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20">
    <xf numFmtId="0" fontId="0" fillId="0" borderId="0" xfId="0"/>
    <xf numFmtId="0" fontId="0" fillId="2" borderId="1" xfId="0" applyFont="1" applyFill="1" applyBorder="1"/>
    <xf numFmtId="0" fontId="0" fillId="2" borderId="2" xfId="0" applyFont="1" applyFill="1" applyBorder="1"/>
    <xf numFmtId="9" fontId="0" fillId="2" borderId="3" xfId="1" applyNumberFormat="1" applyFont="1" applyFill="1" applyBorder="1"/>
    <xf numFmtId="9" fontId="0" fillId="0" borderId="0" xfId="1" applyFont="1"/>
    <xf numFmtId="0" fontId="2" fillId="3" borderId="4" xfId="0" applyFont="1" applyFill="1" applyBorder="1"/>
    <xf numFmtId="0" fontId="2" fillId="3" borderId="5" xfId="0" applyFont="1" applyFill="1" applyBorder="1"/>
    <xf numFmtId="0" fontId="2" fillId="3" borderId="6" xfId="0" applyFont="1" applyFill="1" applyBorder="1"/>
    <xf numFmtId="9" fontId="0" fillId="2" borderId="3" xfId="1" applyFont="1" applyFill="1" applyBorder="1"/>
    <xf numFmtId="0" fontId="0" fillId="0" borderId="0" xfId="0" applyNumberFormat="1"/>
    <xf numFmtId="9" fontId="3" fillId="0" borderId="0" xfId="1" applyFont="1"/>
    <xf numFmtId="0" fontId="0" fillId="4" borderId="0" xfId="0" applyFill="1" applyAlignment="1">
      <alignment horizontal="center"/>
    </xf>
    <xf numFmtId="0" fontId="0" fillId="5" borderId="7" xfId="0" applyFont="1" applyFill="1" applyBorder="1" applyAlignment="1">
      <alignment wrapText="1"/>
    </xf>
    <xf numFmtId="0" fontId="0" fillId="5" borderId="7" xfId="0" applyNumberFormat="1" applyFont="1" applyFill="1" applyBorder="1"/>
    <xf numFmtId="0" fontId="0" fillId="5" borderId="7" xfId="0" applyFont="1" applyFill="1" applyBorder="1"/>
    <xf numFmtId="9" fontId="0" fillId="5" borderId="7" xfId="1" applyNumberFormat="1" applyFont="1" applyFill="1" applyBorder="1"/>
    <xf numFmtId="0" fontId="3" fillId="5" borderId="7" xfId="0" applyFont="1" applyFill="1" applyBorder="1" applyAlignment="1">
      <alignment wrapText="1"/>
    </xf>
    <xf numFmtId="0" fontId="3" fillId="5" borderId="7" xfId="0" applyNumberFormat="1" applyFont="1" applyFill="1" applyBorder="1"/>
    <xf numFmtId="0" fontId="3" fillId="5" borderId="7" xfId="0" applyFont="1" applyFill="1" applyBorder="1"/>
    <xf numFmtId="9" fontId="3" fillId="5" borderId="7" xfId="1" applyNumberFormat="1" applyFont="1" applyFill="1" applyBorder="1"/>
  </cellXfs>
  <cellStyles count="2">
    <cellStyle name="Normal" xfId="0" builtinId="0"/>
    <cellStyle name="Percent" xfId="1" builtinId="5"/>
  </cellStyles>
  <dxfs count="40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3" formatCode="0%"/>
      <fill>
        <patternFill patternType="solid">
          <fgColor indexed="64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3" formatCode="0%"/>
      <fill>
        <patternFill patternType="solid">
          <fgColor indexed="64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0" formatCode="General"/>
      <fill>
        <patternFill patternType="solid">
          <fgColor indexed="64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indexed="64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0" formatCode="General"/>
      <fill>
        <patternFill patternType="solid">
          <fgColor indexed="64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indexed="64"/>
          <bgColor theme="4" tint="0.79998168889431442"/>
        </patternFill>
      </fill>
      <alignment horizontal="general" vertical="bottom" textRotation="0" wrapText="1" indent="0" justifyLastLine="0" shrinkToFit="0" readingOrder="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border outline="0">
        <top style="thin">
          <color theme="4" tint="0.39997558519241921"/>
        </top>
      </border>
    </dxf>
    <dxf>
      <border outline="0">
        <bottom style="thin">
          <color theme="4" tint="0.39997558519241921"/>
        </bottom>
      </border>
    </dxf>
    <dxf>
      <border outline="0">
        <left style="thin">
          <color theme="4" tint="0.39997558519241921"/>
        </left>
        <right style="thin">
          <color theme="4" tint="0.39997558519241921"/>
        </right>
        <top style="thin">
          <color theme="4" tint="0.39997558519241921"/>
        </top>
        <bottom style="thin">
          <color theme="4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theme="4"/>
        </patternFill>
      </fill>
    </dxf>
    <dxf>
      <numFmt numFmtId="13" formatCode="0%"/>
    </dxf>
    <dxf>
      <numFmt numFmtId="13" formatCode="0%"/>
    </dxf>
    <dxf>
      <numFmt numFmtId="0" formatCode="General"/>
    </dxf>
    <dxf>
      <border outline="0">
        <bottom style="thin">
          <color theme="4" tint="0.39997558519241921"/>
        </bottom>
      </border>
    </dxf>
    <dxf>
      <border outline="0">
        <top style="thin">
          <color theme="4" tint="0.39997558519241921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theme="4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3" formatCode="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3" formatCode="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3" formatCode="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3" formatCode="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3" formatCode="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3" formatCode="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3" formatCode="0%"/>
    </dxf>
    <dxf>
      <numFmt numFmtId="0" formatCode="General"/>
    </dxf>
    <dxf>
      <border outline="0">
        <top style="thin">
          <color theme="4" tint="0.39997558519241921"/>
        </top>
      </border>
    </dxf>
    <dxf>
      <border outline="0">
        <bottom style="thin">
          <color theme="4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theme="4"/>
        </patternFill>
      </fill>
    </dxf>
    <dxf>
      <border outline="0">
        <top style="thin">
          <color theme="4" tint="0.39997558519241921"/>
        </top>
      </border>
    </dxf>
    <dxf>
      <border outline="0">
        <bottom style="thin">
          <color theme="4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theme="4"/>
        </patternFill>
      </fill>
    </dxf>
    <dxf>
      <border outline="0">
        <top style="thin">
          <color theme="4" tint="0.39997558519241921"/>
        </top>
      </border>
    </dxf>
    <dxf>
      <border outline="0">
        <bottom style="thin">
          <color theme="4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theme="4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'Offices service perf. report'!$C$4</c:f>
              <c:strCache>
                <c:ptCount val="1"/>
                <c:pt idx="0">
                  <c:v>Enquiry received</c:v>
                </c:pt>
              </c:strCache>
            </c:strRef>
          </c:tx>
          <c:invertIfNegative val="0"/>
          <c:cat>
            <c:strRef>
              <c:f>'Offices service perf. report'!$B$5:$B$7</c:f>
              <c:strCache>
                <c:ptCount val="3"/>
                <c:pt idx="0">
                  <c:v>ABC</c:v>
                </c:pt>
                <c:pt idx="1">
                  <c:v>DEF</c:v>
                </c:pt>
                <c:pt idx="2">
                  <c:v>GHI</c:v>
                </c:pt>
              </c:strCache>
            </c:strRef>
          </c:cat>
          <c:val>
            <c:numRef>
              <c:f>'Offices service perf. report'!$C$5:$C$7</c:f>
              <c:numCache>
                <c:formatCode>General</c:formatCode>
                <c:ptCount val="3"/>
                <c:pt idx="0">
                  <c:v>977</c:v>
                </c:pt>
                <c:pt idx="1">
                  <c:v>1000</c:v>
                </c:pt>
                <c:pt idx="2">
                  <c:v>800</c:v>
                </c:pt>
              </c:numCache>
            </c:numRef>
          </c:val>
        </c:ser>
        <c:ser>
          <c:idx val="1"/>
          <c:order val="1"/>
          <c:tx>
            <c:strRef>
              <c:f>'Offices service perf. report'!$D$4</c:f>
              <c:strCache>
                <c:ptCount val="1"/>
                <c:pt idx="0">
                  <c:v>Enquiry converted</c:v>
                </c:pt>
              </c:strCache>
            </c:strRef>
          </c:tx>
          <c:invertIfNegative val="0"/>
          <c:cat>
            <c:strRef>
              <c:f>'Offices service perf. report'!$B$5:$B$7</c:f>
              <c:strCache>
                <c:ptCount val="3"/>
                <c:pt idx="0">
                  <c:v>ABC</c:v>
                </c:pt>
                <c:pt idx="1">
                  <c:v>DEF</c:v>
                </c:pt>
                <c:pt idx="2">
                  <c:v>GHI</c:v>
                </c:pt>
              </c:strCache>
            </c:strRef>
          </c:cat>
          <c:val>
            <c:numRef>
              <c:f>'Offices service perf. report'!$D$5:$D$7</c:f>
              <c:numCache>
                <c:formatCode>General</c:formatCode>
                <c:ptCount val="3"/>
                <c:pt idx="0">
                  <c:v>790</c:v>
                </c:pt>
                <c:pt idx="1">
                  <c:v>850</c:v>
                </c:pt>
                <c:pt idx="2">
                  <c:v>700</c:v>
                </c:pt>
              </c:numCache>
            </c:numRef>
          </c:val>
        </c:ser>
        <c:ser>
          <c:idx val="2"/>
          <c:order val="2"/>
          <c:tx>
            <c:strRef>
              <c:f>'Offices service perf. report'!$E$4</c:f>
              <c:strCache>
                <c:ptCount val="1"/>
                <c:pt idx="0">
                  <c:v>Difference</c:v>
                </c:pt>
              </c:strCache>
            </c:strRef>
          </c:tx>
          <c:invertIfNegative val="0"/>
          <c:cat>
            <c:strRef>
              <c:f>'Offices service perf. report'!$B$5:$B$7</c:f>
              <c:strCache>
                <c:ptCount val="3"/>
                <c:pt idx="0">
                  <c:v>ABC</c:v>
                </c:pt>
                <c:pt idx="1">
                  <c:v>DEF</c:v>
                </c:pt>
                <c:pt idx="2">
                  <c:v>GHI</c:v>
                </c:pt>
              </c:strCache>
            </c:strRef>
          </c:cat>
          <c:val>
            <c:numRef>
              <c:f>'Offices service perf. report'!$E$5:$E$7</c:f>
              <c:numCache>
                <c:formatCode>General</c:formatCode>
                <c:ptCount val="3"/>
                <c:pt idx="0">
                  <c:v>187</c:v>
                </c:pt>
                <c:pt idx="1">
                  <c:v>150</c:v>
                </c:pt>
                <c:pt idx="2">
                  <c:v>100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54118016"/>
        <c:axId val="154414464"/>
      </c:barChart>
      <c:lineChart>
        <c:grouping val="standard"/>
        <c:varyColors val="0"/>
        <c:ser>
          <c:idx val="3"/>
          <c:order val="3"/>
          <c:tx>
            <c:strRef>
              <c:f>'Offices service perf. report'!$F$4</c:f>
              <c:strCache>
                <c:ptCount val="1"/>
                <c:pt idx="0">
                  <c:v>Win Rate</c:v>
                </c:pt>
              </c:strCache>
            </c:strRef>
          </c:tx>
          <c:marker>
            <c:symbol val="none"/>
          </c:marker>
          <c:cat>
            <c:strRef>
              <c:f>'Offices service perf. report'!$B$5:$B$7</c:f>
              <c:strCache>
                <c:ptCount val="3"/>
                <c:pt idx="0">
                  <c:v>ABC</c:v>
                </c:pt>
                <c:pt idx="1">
                  <c:v>DEF</c:v>
                </c:pt>
                <c:pt idx="2">
                  <c:v>GHI</c:v>
                </c:pt>
              </c:strCache>
            </c:strRef>
          </c:cat>
          <c:val>
            <c:numRef>
              <c:f>'Offices service perf. report'!$F$5:$F$7</c:f>
              <c:numCache>
                <c:formatCode>0%</c:formatCode>
                <c:ptCount val="3"/>
                <c:pt idx="0">
                  <c:v>0.80859774820880248</c:v>
                </c:pt>
                <c:pt idx="1">
                  <c:v>0.85</c:v>
                </c:pt>
                <c:pt idx="2">
                  <c:v>0.875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55901312"/>
        <c:axId val="155899776"/>
      </c:lineChart>
      <c:catAx>
        <c:axId val="154118016"/>
        <c:scaling>
          <c:orientation val="minMax"/>
        </c:scaling>
        <c:delete val="0"/>
        <c:axPos val="b"/>
        <c:majorTickMark val="out"/>
        <c:minorTickMark val="none"/>
        <c:tickLblPos val="nextTo"/>
        <c:crossAx val="154414464"/>
        <c:crosses val="autoZero"/>
        <c:auto val="1"/>
        <c:lblAlgn val="ctr"/>
        <c:lblOffset val="100"/>
        <c:noMultiLvlLbl val="0"/>
      </c:catAx>
      <c:valAx>
        <c:axId val="154414464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54118016"/>
        <c:crosses val="autoZero"/>
        <c:crossBetween val="between"/>
      </c:valAx>
      <c:valAx>
        <c:axId val="155899776"/>
        <c:scaling>
          <c:orientation val="minMax"/>
        </c:scaling>
        <c:delete val="0"/>
        <c:axPos val="r"/>
        <c:numFmt formatCode="0%" sourceLinked="1"/>
        <c:majorTickMark val="out"/>
        <c:minorTickMark val="none"/>
        <c:tickLblPos val="nextTo"/>
        <c:crossAx val="155901312"/>
        <c:crosses val="max"/>
        <c:crossBetween val="between"/>
      </c:valAx>
      <c:catAx>
        <c:axId val="155901312"/>
        <c:scaling>
          <c:orientation val="minMax"/>
        </c:scaling>
        <c:delete val="1"/>
        <c:axPos val="b"/>
        <c:majorTickMark val="out"/>
        <c:minorTickMark val="none"/>
        <c:tickLblPos val="nextTo"/>
        <c:crossAx val="155899776"/>
        <c:crosses val="autoZero"/>
        <c:auto val="1"/>
        <c:lblAlgn val="ctr"/>
        <c:lblOffset val="100"/>
        <c:noMultiLvlLbl val="0"/>
      </c:cat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'Office service P.R. Quarterly'!$C$4</c:f>
              <c:strCache>
                <c:ptCount val="1"/>
                <c:pt idx="0">
                  <c:v>Enquiry received</c:v>
                </c:pt>
              </c:strCache>
            </c:strRef>
          </c:tx>
          <c:invertIfNegative val="0"/>
          <c:cat>
            <c:strRef>
              <c:f>'Office service P.R. Quarterly'!$B$5:$B$7</c:f>
              <c:strCache>
                <c:ptCount val="3"/>
                <c:pt idx="0">
                  <c:v>April</c:v>
                </c:pt>
                <c:pt idx="1">
                  <c:v>May</c:v>
                </c:pt>
                <c:pt idx="2">
                  <c:v>June</c:v>
                </c:pt>
              </c:strCache>
            </c:strRef>
          </c:cat>
          <c:val>
            <c:numRef>
              <c:f>'Office service P.R. Quarterly'!$C$5:$C$7</c:f>
              <c:numCache>
                <c:formatCode>General</c:formatCode>
                <c:ptCount val="3"/>
                <c:pt idx="0">
                  <c:v>977</c:v>
                </c:pt>
                <c:pt idx="1">
                  <c:v>990</c:v>
                </c:pt>
                <c:pt idx="2">
                  <c:v>900</c:v>
                </c:pt>
              </c:numCache>
            </c:numRef>
          </c:val>
        </c:ser>
        <c:ser>
          <c:idx val="1"/>
          <c:order val="1"/>
          <c:tx>
            <c:strRef>
              <c:f>'Office service P.R. Quarterly'!$D$4</c:f>
              <c:strCache>
                <c:ptCount val="1"/>
                <c:pt idx="0">
                  <c:v>Enquiry converted</c:v>
                </c:pt>
              </c:strCache>
            </c:strRef>
          </c:tx>
          <c:invertIfNegative val="0"/>
          <c:cat>
            <c:strRef>
              <c:f>'Office service P.R. Quarterly'!$B$5:$B$7</c:f>
              <c:strCache>
                <c:ptCount val="3"/>
                <c:pt idx="0">
                  <c:v>April</c:v>
                </c:pt>
                <c:pt idx="1">
                  <c:v>May</c:v>
                </c:pt>
                <c:pt idx="2">
                  <c:v>June</c:v>
                </c:pt>
              </c:strCache>
            </c:strRef>
          </c:cat>
          <c:val>
            <c:numRef>
              <c:f>'Office service P.R. Quarterly'!$D$5:$D$7</c:f>
              <c:numCache>
                <c:formatCode>General</c:formatCode>
                <c:ptCount val="3"/>
                <c:pt idx="0">
                  <c:v>790</c:v>
                </c:pt>
                <c:pt idx="1">
                  <c:v>800</c:v>
                </c:pt>
                <c:pt idx="2">
                  <c:v>750</c:v>
                </c:pt>
              </c:numCache>
            </c:numRef>
          </c:val>
        </c:ser>
        <c:ser>
          <c:idx val="2"/>
          <c:order val="2"/>
          <c:tx>
            <c:strRef>
              <c:f>'Office service P.R. Quarterly'!$E$4</c:f>
              <c:strCache>
                <c:ptCount val="1"/>
                <c:pt idx="0">
                  <c:v>Difference</c:v>
                </c:pt>
              </c:strCache>
            </c:strRef>
          </c:tx>
          <c:invertIfNegative val="0"/>
          <c:cat>
            <c:strRef>
              <c:f>'Office service P.R. Quarterly'!$B$5:$B$7</c:f>
              <c:strCache>
                <c:ptCount val="3"/>
                <c:pt idx="0">
                  <c:v>April</c:v>
                </c:pt>
                <c:pt idx="1">
                  <c:v>May</c:v>
                </c:pt>
                <c:pt idx="2">
                  <c:v>June</c:v>
                </c:pt>
              </c:strCache>
            </c:strRef>
          </c:cat>
          <c:val>
            <c:numRef>
              <c:f>'Office service P.R. Quarterly'!$E$5:$E$7</c:f>
              <c:numCache>
                <c:formatCode>General</c:formatCode>
                <c:ptCount val="3"/>
                <c:pt idx="0">
                  <c:v>187</c:v>
                </c:pt>
                <c:pt idx="1">
                  <c:v>190</c:v>
                </c:pt>
                <c:pt idx="2">
                  <c:v>150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80230016"/>
        <c:axId val="180231552"/>
      </c:barChart>
      <c:lineChart>
        <c:grouping val="standard"/>
        <c:varyColors val="0"/>
        <c:ser>
          <c:idx val="3"/>
          <c:order val="3"/>
          <c:tx>
            <c:strRef>
              <c:f>'Office service P.R. Quarterly'!$F$4</c:f>
              <c:strCache>
                <c:ptCount val="1"/>
                <c:pt idx="0">
                  <c:v>Win Rate</c:v>
                </c:pt>
              </c:strCache>
            </c:strRef>
          </c:tx>
          <c:marker>
            <c:symbol val="none"/>
          </c:marker>
          <c:cat>
            <c:strRef>
              <c:f>'Office service P.R. Quarterly'!$B$5:$B$7</c:f>
              <c:strCache>
                <c:ptCount val="3"/>
                <c:pt idx="0">
                  <c:v>April</c:v>
                </c:pt>
                <c:pt idx="1">
                  <c:v>May</c:v>
                </c:pt>
                <c:pt idx="2">
                  <c:v>June</c:v>
                </c:pt>
              </c:strCache>
            </c:strRef>
          </c:cat>
          <c:val>
            <c:numRef>
              <c:f>'Office service P.R. Quarterly'!$F$5:$F$7</c:f>
              <c:numCache>
                <c:formatCode>0%</c:formatCode>
                <c:ptCount val="3"/>
                <c:pt idx="0">
                  <c:v>0.80859774820880248</c:v>
                </c:pt>
                <c:pt idx="1">
                  <c:v>0.80808080808080807</c:v>
                </c:pt>
                <c:pt idx="2">
                  <c:v>0.83333333333333337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80235648"/>
        <c:axId val="180233344"/>
      </c:lineChart>
      <c:catAx>
        <c:axId val="180230016"/>
        <c:scaling>
          <c:orientation val="minMax"/>
        </c:scaling>
        <c:delete val="0"/>
        <c:axPos val="b"/>
        <c:majorTickMark val="out"/>
        <c:minorTickMark val="none"/>
        <c:tickLblPos val="nextTo"/>
        <c:crossAx val="180231552"/>
        <c:crosses val="autoZero"/>
        <c:auto val="1"/>
        <c:lblAlgn val="ctr"/>
        <c:lblOffset val="100"/>
        <c:noMultiLvlLbl val="0"/>
      </c:catAx>
      <c:valAx>
        <c:axId val="180231552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80230016"/>
        <c:crosses val="autoZero"/>
        <c:crossBetween val="between"/>
      </c:valAx>
      <c:valAx>
        <c:axId val="180233344"/>
        <c:scaling>
          <c:orientation val="minMax"/>
          <c:max val="0.9"/>
          <c:min val="0.8"/>
        </c:scaling>
        <c:delete val="0"/>
        <c:axPos val="r"/>
        <c:numFmt formatCode="0%" sourceLinked="1"/>
        <c:majorTickMark val="out"/>
        <c:minorTickMark val="none"/>
        <c:tickLblPos val="nextTo"/>
        <c:crossAx val="180235648"/>
        <c:crosses val="max"/>
        <c:crossBetween val="between"/>
        <c:majorUnit val="9.0000000000000028E-3"/>
        <c:minorUnit val="1.0000000000000002E-3"/>
      </c:valAx>
      <c:catAx>
        <c:axId val="180235648"/>
        <c:scaling>
          <c:orientation val="minMax"/>
        </c:scaling>
        <c:delete val="1"/>
        <c:axPos val="b"/>
        <c:majorTickMark val="out"/>
        <c:minorTickMark val="none"/>
        <c:tickLblPos val="nextTo"/>
        <c:crossAx val="180233344"/>
        <c:crosses val="autoZero"/>
        <c:auto val="1"/>
        <c:lblAlgn val="ctr"/>
        <c:lblOffset val="100"/>
        <c:noMultiLvlLbl val="0"/>
      </c:cat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'Office wise excution report'!$C$4</c:f>
              <c:strCache>
                <c:ptCount val="1"/>
                <c:pt idx="0">
                  <c:v>Due-date tasks allotted</c:v>
                </c:pt>
              </c:strCache>
            </c:strRef>
          </c:tx>
          <c:invertIfNegative val="0"/>
          <c:cat>
            <c:strRef>
              <c:f>'Office wise excution report'!$B$5:$B$7</c:f>
              <c:strCache>
                <c:ptCount val="3"/>
                <c:pt idx="0">
                  <c:v>ABC</c:v>
                </c:pt>
                <c:pt idx="1">
                  <c:v>DEF</c:v>
                </c:pt>
                <c:pt idx="2">
                  <c:v>GHI</c:v>
                </c:pt>
              </c:strCache>
            </c:strRef>
          </c:cat>
          <c:val>
            <c:numRef>
              <c:f>'Office wise excution report'!$C$5:$C$7</c:f>
              <c:numCache>
                <c:formatCode>General</c:formatCode>
                <c:ptCount val="3"/>
                <c:pt idx="0">
                  <c:v>422</c:v>
                </c:pt>
                <c:pt idx="1">
                  <c:v>300</c:v>
                </c:pt>
                <c:pt idx="2">
                  <c:v>500</c:v>
                </c:pt>
              </c:numCache>
            </c:numRef>
          </c:val>
        </c:ser>
        <c:ser>
          <c:idx val="1"/>
          <c:order val="1"/>
          <c:tx>
            <c:strRef>
              <c:f>'Office wise excution report'!$D$4</c:f>
              <c:strCache>
                <c:ptCount val="1"/>
                <c:pt idx="0">
                  <c:v>Due-date tasks completed</c:v>
                </c:pt>
              </c:strCache>
            </c:strRef>
          </c:tx>
          <c:invertIfNegative val="0"/>
          <c:cat>
            <c:strRef>
              <c:f>'Office wise excution report'!$B$5:$B$7</c:f>
              <c:strCache>
                <c:ptCount val="3"/>
                <c:pt idx="0">
                  <c:v>ABC</c:v>
                </c:pt>
                <c:pt idx="1">
                  <c:v>DEF</c:v>
                </c:pt>
                <c:pt idx="2">
                  <c:v>GHI</c:v>
                </c:pt>
              </c:strCache>
            </c:strRef>
          </c:cat>
          <c:val>
            <c:numRef>
              <c:f>'Office wise excution report'!$D$5:$D$7</c:f>
              <c:numCache>
                <c:formatCode>General</c:formatCode>
                <c:ptCount val="3"/>
                <c:pt idx="0">
                  <c:v>234</c:v>
                </c:pt>
                <c:pt idx="1">
                  <c:v>290</c:v>
                </c:pt>
                <c:pt idx="2">
                  <c:v>300</c:v>
                </c:pt>
              </c:numCache>
            </c:numRef>
          </c:val>
        </c:ser>
        <c:ser>
          <c:idx val="2"/>
          <c:order val="2"/>
          <c:tx>
            <c:strRef>
              <c:f>'Office wise excution report'!$E$4</c:f>
              <c:strCache>
                <c:ptCount val="1"/>
                <c:pt idx="0">
                  <c:v>Remaining</c:v>
                </c:pt>
              </c:strCache>
            </c:strRef>
          </c:tx>
          <c:invertIfNegative val="0"/>
          <c:cat>
            <c:strRef>
              <c:f>'Office wise excution report'!$B$5:$B$7</c:f>
              <c:strCache>
                <c:ptCount val="3"/>
                <c:pt idx="0">
                  <c:v>ABC</c:v>
                </c:pt>
                <c:pt idx="1">
                  <c:v>DEF</c:v>
                </c:pt>
                <c:pt idx="2">
                  <c:v>GHI</c:v>
                </c:pt>
              </c:strCache>
            </c:strRef>
          </c:cat>
          <c:val>
            <c:numRef>
              <c:f>'Office wise excution report'!$E$5:$E$7</c:f>
              <c:numCache>
                <c:formatCode>General</c:formatCode>
                <c:ptCount val="3"/>
                <c:pt idx="0">
                  <c:v>188</c:v>
                </c:pt>
                <c:pt idx="1">
                  <c:v>10</c:v>
                </c:pt>
                <c:pt idx="2">
                  <c:v>200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96575232"/>
        <c:axId val="196576768"/>
      </c:barChart>
      <c:lineChart>
        <c:grouping val="standard"/>
        <c:varyColors val="0"/>
        <c:ser>
          <c:idx val="3"/>
          <c:order val="3"/>
          <c:tx>
            <c:strRef>
              <c:f>'Office wise excution report'!$F$4</c:f>
              <c:strCache>
                <c:ptCount val="1"/>
                <c:pt idx="0">
                  <c:v>%ge of completed to total allotted</c:v>
                </c:pt>
              </c:strCache>
            </c:strRef>
          </c:tx>
          <c:marker>
            <c:symbol val="none"/>
          </c:marker>
          <c:cat>
            <c:strRef>
              <c:f>'Office wise excution report'!$B$5:$B$7</c:f>
              <c:strCache>
                <c:ptCount val="3"/>
                <c:pt idx="0">
                  <c:v>ABC</c:v>
                </c:pt>
                <c:pt idx="1">
                  <c:v>DEF</c:v>
                </c:pt>
                <c:pt idx="2">
                  <c:v>GHI</c:v>
                </c:pt>
              </c:strCache>
            </c:strRef>
          </c:cat>
          <c:val>
            <c:numRef>
              <c:f>'Office wise excution report'!$F$5:$F$7</c:f>
              <c:numCache>
                <c:formatCode>0%</c:formatCode>
                <c:ptCount val="3"/>
                <c:pt idx="0">
                  <c:v>0.55450236966824595</c:v>
                </c:pt>
                <c:pt idx="1">
                  <c:v>0.96666666666666667</c:v>
                </c:pt>
                <c:pt idx="2">
                  <c:v>0.6</c:v>
                </c:pt>
              </c:numCache>
            </c:numRef>
          </c:val>
          <c:smooth val="0"/>
        </c:ser>
        <c:ser>
          <c:idx val="4"/>
          <c:order val="4"/>
          <c:tx>
            <c:strRef>
              <c:f>'Office wise excution report'!$G$4</c:f>
              <c:strCache>
                <c:ptCount val="1"/>
                <c:pt idx="0">
                  <c:v>%ge of remaining to total allotted</c:v>
                </c:pt>
              </c:strCache>
            </c:strRef>
          </c:tx>
          <c:marker>
            <c:symbol val="none"/>
          </c:marker>
          <c:cat>
            <c:strRef>
              <c:f>'Office wise excution report'!$B$5:$B$7</c:f>
              <c:strCache>
                <c:ptCount val="3"/>
                <c:pt idx="0">
                  <c:v>ABC</c:v>
                </c:pt>
                <c:pt idx="1">
                  <c:v>DEF</c:v>
                </c:pt>
                <c:pt idx="2">
                  <c:v>GHI</c:v>
                </c:pt>
              </c:strCache>
            </c:strRef>
          </c:cat>
          <c:val>
            <c:numRef>
              <c:f>'Office wise excution report'!$G$5:$G$7</c:f>
              <c:numCache>
                <c:formatCode>0%</c:formatCode>
                <c:ptCount val="3"/>
                <c:pt idx="0">
                  <c:v>0.44549763033175355</c:v>
                </c:pt>
                <c:pt idx="1">
                  <c:v>3.3333333333333333E-2</c:v>
                </c:pt>
                <c:pt idx="2">
                  <c:v>0.4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6595072"/>
        <c:axId val="196593536"/>
      </c:lineChart>
      <c:catAx>
        <c:axId val="196575232"/>
        <c:scaling>
          <c:orientation val="minMax"/>
        </c:scaling>
        <c:delete val="0"/>
        <c:axPos val="b"/>
        <c:majorTickMark val="out"/>
        <c:minorTickMark val="none"/>
        <c:tickLblPos val="nextTo"/>
        <c:crossAx val="196576768"/>
        <c:crosses val="autoZero"/>
        <c:auto val="1"/>
        <c:lblAlgn val="ctr"/>
        <c:lblOffset val="100"/>
        <c:noMultiLvlLbl val="0"/>
      </c:catAx>
      <c:valAx>
        <c:axId val="196576768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96575232"/>
        <c:crosses val="autoZero"/>
        <c:crossBetween val="between"/>
      </c:valAx>
      <c:valAx>
        <c:axId val="196593536"/>
        <c:scaling>
          <c:orientation val="minMax"/>
        </c:scaling>
        <c:delete val="0"/>
        <c:axPos val="r"/>
        <c:numFmt formatCode="0%" sourceLinked="1"/>
        <c:majorTickMark val="out"/>
        <c:minorTickMark val="none"/>
        <c:tickLblPos val="nextTo"/>
        <c:crossAx val="196595072"/>
        <c:crosses val="max"/>
        <c:crossBetween val="between"/>
      </c:valAx>
      <c:catAx>
        <c:axId val="196595072"/>
        <c:scaling>
          <c:orientation val="minMax"/>
        </c:scaling>
        <c:delete val="1"/>
        <c:axPos val="b"/>
        <c:majorTickMark val="out"/>
        <c:minorTickMark val="none"/>
        <c:tickLblPos val="nextTo"/>
        <c:crossAx val="196593536"/>
        <c:crosses val="autoZero"/>
        <c:auto val="1"/>
        <c:lblAlgn val="ctr"/>
        <c:lblOffset val="100"/>
        <c:noMultiLvlLbl val="0"/>
      </c:cat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'Office wise excution report'!$C$25</c:f>
              <c:strCache>
                <c:ptCount val="1"/>
                <c:pt idx="0">
                  <c:v>Project Assignment tasks alotted</c:v>
                </c:pt>
              </c:strCache>
            </c:strRef>
          </c:tx>
          <c:invertIfNegative val="0"/>
          <c:cat>
            <c:strRef>
              <c:f>'Office wise excution report'!$B$26:$B$28</c:f>
              <c:strCache>
                <c:ptCount val="3"/>
                <c:pt idx="0">
                  <c:v>ABC</c:v>
                </c:pt>
                <c:pt idx="1">
                  <c:v>DEF</c:v>
                </c:pt>
                <c:pt idx="2">
                  <c:v>GHI</c:v>
                </c:pt>
              </c:strCache>
            </c:strRef>
          </c:cat>
          <c:val>
            <c:numRef>
              <c:f>'Office wise excution report'!$C$26:$C$28</c:f>
              <c:numCache>
                <c:formatCode>General</c:formatCode>
                <c:ptCount val="3"/>
                <c:pt idx="0">
                  <c:v>348</c:v>
                </c:pt>
                <c:pt idx="1">
                  <c:v>400</c:v>
                </c:pt>
                <c:pt idx="2">
                  <c:v>350</c:v>
                </c:pt>
              </c:numCache>
            </c:numRef>
          </c:val>
        </c:ser>
        <c:ser>
          <c:idx val="1"/>
          <c:order val="1"/>
          <c:tx>
            <c:strRef>
              <c:f>'Office wise excution report'!$D$25</c:f>
              <c:strCache>
                <c:ptCount val="1"/>
                <c:pt idx="0">
                  <c:v>Projecet assignment tasks completed</c:v>
                </c:pt>
              </c:strCache>
            </c:strRef>
          </c:tx>
          <c:invertIfNegative val="0"/>
          <c:cat>
            <c:strRef>
              <c:f>'Office wise excution report'!$B$26:$B$28</c:f>
              <c:strCache>
                <c:ptCount val="3"/>
                <c:pt idx="0">
                  <c:v>ABC</c:v>
                </c:pt>
                <c:pt idx="1">
                  <c:v>DEF</c:v>
                </c:pt>
                <c:pt idx="2">
                  <c:v>GHI</c:v>
                </c:pt>
              </c:strCache>
            </c:strRef>
          </c:cat>
          <c:val>
            <c:numRef>
              <c:f>'Office wise excution report'!$D$26:$D$28</c:f>
              <c:numCache>
                <c:formatCode>General</c:formatCode>
                <c:ptCount val="3"/>
                <c:pt idx="0">
                  <c:v>191</c:v>
                </c:pt>
                <c:pt idx="1">
                  <c:v>200</c:v>
                </c:pt>
                <c:pt idx="2">
                  <c:v>200</c:v>
                </c:pt>
              </c:numCache>
            </c:numRef>
          </c:val>
        </c:ser>
        <c:ser>
          <c:idx val="2"/>
          <c:order val="2"/>
          <c:tx>
            <c:strRef>
              <c:f>'Office wise excution report'!$E$25</c:f>
              <c:strCache>
                <c:ptCount val="1"/>
                <c:pt idx="0">
                  <c:v>Remaining</c:v>
                </c:pt>
              </c:strCache>
            </c:strRef>
          </c:tx>
          <c:invertIfNegative val="0"/>
          <c:cat>
            <c:strRef>
              <c:f>'Office wise excution report'!$B$26:$B$28</c:f>
              <c:strCache>
                <c:ptCount val="3"/>
                <c:pt idx="0">
                  <c:v>ABC</c:v>
                </c:pt>
                <c:pt idx="1">
                  <c:v>DEF</c:v>
                </c:pt>
                <c:pt idx="2">
                  <c:v>GHI</c:v>
                </c:pt>
              </c:strCache>
            </c:strRef>
          </c:cat>
          <c:val>
            <c:numRef>
              <c:f>'Office wise excution report'!$E$26:$E$28</c:f>
              <c:numCache>
                <c:formatCode>General</c:formatCode>
                <c:ptCount val="3"/>
                <c:pt idx="0">
                  <c:v>157</c:v>
                </c:pt>
                <c:pt idx="1">
                  <c:v>200</c:v>
                </c:pt>
                <c:pt idx="2">
                  <c:v>150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00238592"/>
        <c:axId val="200240128"/>
      </c:barChart>
      <c:lineChart>
        <c:grouping val="standard"/>
        <c:varyColors val="0"/>
        <c:ser>
          <c:idx val="3"/>
          <c:order val="3"/>
          <c:tx>
            <c:strRef>
              <c:f>'Office wise excution report'!$F$25</c:f>
              <c:strCache>
                <c:ptCount val="1"/>
                <c:pt idx="0">
                  <c:v>%ge of completed to total allotted</c:v>
                </c:pt>
              </c:strCache>
            </c:strRef>
          </c:tx>
          <c:marker>
            <c:symbol val="none"/>
          </c:marker>
          <c:cat>
            <c:strRef>
              <c:f>'Office wise excution report'!$B$26:$B$28</c:f>
              <c:strCache>
                <c:ptCount val="3"/>
                <c:pt idx="0">
                  <c:v>ABC</c:v>
                </c:pt>
                <c:pt idx="1">
                  <c:v>DEF</c:v>
                </c:pt>
                <c:pt idx="2">
                  <c:v>GHI</c:v>
                </c:pt>
              </c:strCache>
            </c:strRef>
          </c:cat>
          <c:val>
            <c:numRef>
              <c:f>'Office wise excution report'!$F$26:$F$28</c:f>
              <c:numCache>
                <c:formatCode>0%</c:formatCode>
                <c:ptCount val="3"/>
                <c:pt idx="0">
                  <c:v>0.54885057471264365</c:v>
                </c:pt>
                <c:pt idx="1">
                  <c:v>0.5</c:v>
                </c:pt>
                <c:pt idx="2">
                  <c:v>0.5714285714285714</c:v>
                </c:pt>
              </c:numCache>
            </c:numRef>
          </c:val>
          <c:smooth val="0"/>
        </c:ser>
        <c:ser>
          <c:idx val="4"/>
          <c:order val="4"/>
          <c:tx>
            <c:strRef>
              <c:f>'Office wise excution report'!$G$25</c:f>
              <c:strCache>
                <c:ptCount val="1"/>
                <c:pt idx="0">
                  <c:v>%ge of remaining to total allotted</c:v>
                </c:pt>
              </c:strCache>
            </c:strRef>
          </c:tx>
          <c:marker>
            <c:symbol val="none"/>
          </c:marker>
          <c:cat>
            <c:strRef>
              <c:f>'Office wise excution report'!$B$26:$B$28</c:f>
              <c:strCache>
                <c:ptCount val="3"/>
                <c:pt idx="0">
                  <c:v>ABC</c:v>
                </c:pt>
                <c:pt idx="1">
                  <c:v>DEF</c:v>
                </c:pt>
                <c:pt idx="2">
                  <c:v>GHI</c:v>
                </c:pt>
              </c:strCache>
            </c:strRef>
          </c:cat>
          <c:val>
            <c:numRef>
              <c:f>'Office wise excution report'!$G$26:$G$28</c:f>
              <c:numCache>
                <c:formatCode>0%</c:formatCode>
                <c:ptCount val="3"/>
                <c:pt idx="0">
                  <c:v>0.4511494252873563</c:v>
                </c:pt>
                <c:pt idx="1">
                  <c:v>0.5</c:v>
                </c:pt>
                <c:pt idx="2">
                  <c:v>0.42857142857142855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00379776"/>
        <c:axId val="200377088"/>
      </c:lineChart>
      <c:catAx>
        <c:axId val="200238592"/>
        <c:scaling>
          <c:orientation val="minMax"/>
        </c:scaling>
        <c:delete val="0"/>
        <c:axPos val="b"/>
        <c:majorTickMark val="out"/>
        <c:minorTickMark val="none"/>
        <c:tickLblPos val="nextTo"/>
        <c:crossAx val="200240128"/>
        <c:crosses val="autoZero"/>
        <c:auto val="1"/>
        <c:lblAlgn val="ctr"/>
        <c:lblOffset val="100"/>
        <c:noMultiLvlLbl val="0"/>
      </c:catAx>
      <c:valAx>
        <c:axId val="200240128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200238592"/>
        <c:crosses val="autoZero"/>
        <c:crossBetween val="between"/>
      </c:valAx>
      <c:valAx>
        <c:axId val="200377088"/>
        <c:scaling>
          <c:orientation val="minMax"/>
        </c:scaling>
        <c:delete val="0"/>
        <c:axPos val="r"/>
        <c:numFmt formatCode="0%" sourceLinked="1"/>
        <c:majorTickMark val="out"/>
        <c:minorTickMark val="none"/>
        <c:tickLblPos val="nextTo"/>
        <c:crossAx val="200379776"/>
        <c:crosses val="max"/>
        <c:crossBetween val="between"/>
      </c:valAx>
      <c:catAx>
        <c:axId val="200379776"/>
        <c:scaling>
          <c:orientation val="minMax"/>
        </c:scaling>
        <c:delete val="1"/>
        <c:axPos val="b"/>
        <c:majorTickMark val="out"/>
        <c:minorTickMark val="none"/>
        <c:tickLblPos val="nextTo"/>
        <c:crossAx val="200377088"/>
        <c:crosses val="autoZero"/>
        <c:auto val="1"/>
        <c:lblAlgn val="ctr"/>
        <c:lblOffset val="100"/>
        <c:noMultiLvlLbl val="0"/>
      </c:cat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Offices overall Due-date task performance </a:t>
            </a:r>
          </a:p>
        </c:rich>
      </c:tx>
      <c:layout>
        <c:manualLayout>
          <c:xMode val="edge"/>
          <c:yMode val="edge"/>
          <c:x val="0.11122661122661123"/>
          <c:y val="2.7777777777777776E-2"/>
        </c:manualLayout>
      </c:layout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'Office execution Rep. Quarterly'!$C$3</c:f>
              <c:strCache>
                <c:ptCount val="1"/>
                <c:pt idx="0">
                  <c:v>Due-date tasks allotted</c:v>
                </c:pt>
              </c:strCache>
            </c:strRef>
          </c:tx>
          <c:invertIfNegative val="0"/>
          <c:cat>
            <c:strRef>
              <c:f>'Office execution Rep. Quarterly'!$B$4:$B$6</c:f>
              <c:strCache>
                <c:ptCount val="3"/>
                <c:pt idx="0">
                  <c:v>April</c:v>
                </c:pt>
                <c:pt idx="1">
                  <c:v>May</c:v>
                </c:pt>
                <c:pt idx="2">
                  <c:v>June</c:v>
                </c:pt>
              </c:strCache>
            </c:strRef>
          </c:cat>
          <c:val>
            <c:numRef>
              <c:f>'Office execution Rep. Quarterly'!$C$4:$C$6</c:f>
              <c:numCache>
                <c:formatCode>General</c:formatCode>
                <c:ptCount val="3"/>
                <c:pt idx="0">
                  <c:v>422</c:v>
                </c:pt>
                <c:pt idx="1">
                  <c:v>400</c:v>
                </c:pt>
                <c:pt idx="2">
                  <c:v>390</c:v>
                </c:pt>
              </c:numCache>
            </c:numRef>
          </c:val>
        </c:ser>
        <c:ser>
          <c:idx val="1"/>
          <c:order val="1"/>
          <c:tx>
            <c:strRef>
              <c:f>'Office execution Rep. Quarterly'!$D$3</c:f>
              <c:strCache>
                <c:ptCount val="1"/>
                <c:pt idx="0">
                  <c:v>Due-date tasks completed</c:v>
                </c:pt>
              </c:strCache>
            </c:strRef>
          </c:tx>
          <c:invertIfNegative val="0"/>
          <c:cat>
            <c:strRef>
              <c:f>'Office execution Rep. Quarterly'!$B$4:$B$6</c:f>
              <c:strCache>
                <c:ptCount val="3"/>
                <c:pt idx="0">
                  <c:v>April</c:v>
                </c:pt>
                <c:pt idx="1">
                  <c:v>May</c:v>
                </c:pt>
                <c:pt idx="2">
                  <c:v>June</c:v>
                </c:pt>
              </c:strCache>
            </c:strRef>
          </c:cat>
          <c:val>
            <c:numRef>
              <c:f>'Office execution Rep. Quarterly'!$D$4:$D$6</c:f>
              <c:numCache>
                <c:formatCode>General</c:formatCode>
                <c:ptCount val="3"/>
                <c:pt idx="0">
                  <c:v>234</c:v>
                </c:pt>
                <c:pt idx="1">
                  <c:v>200</c:v>
                </c:pt>
                <c:pt idx="2">
                  <c:v>250</c:v>
                </c:pt>
              </c:numCache>
            </c:numRef>
          </c:val>
        </c:ser>
        <c:ser>
          <c:idx val="2"/>
          <c:order val="2"/>
          <c:tx>
            <c:strRef>
              <c:f>'Office execution Rep. Quarterly'!$E$3</c:f>
              <c:strCache>
                <c:ptCount val="1"/>
                <c:pt idx="0">
                  <c:v>Remaining</c:v>
                </c:pt>
              </c:strCache>
            </c:strRef>
          </c:tx>
          <c:invertIfNegative val="0"/>
          <c:cat>
            <c:strRef>
              <c:f>'Office execution Rep. Quarterly'!$B$4:$B$6</c:f>
              <c:strCache>
                <c:ptCount val="3"/>
                <c:pt idx="0">
                  <c:v>April</c:v>
                </c:pt>
                <c:pt idx="1">
                  <c:v>May</c:v>
                </c:pt>
                <c:pt idx="2">
                  <c:v>June</c:v>
                </c:pt>
              </c:strCache>
            </c:strRef>
          </c:cat>
          <c:val>
            <c:numRef>
              <c:f>'Office execution Rep. Quarterly'!$E$4:$E$6</c:f>
              <c:numCache>
                <c:formatCode>General</c:formatCode>
                <c:ptCount val="3"/>
                <c:pt idx="0">
                  <c:v>188</c:v>
                </c:pt>
                <c:pt idx="1">
                  <c:v>200</c:v>
                </c:pt>
                <c:pt idx="2">
                  <c:v>140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37009152"/>
        <c:axId val="237016192"/>
      </c:barChart>
      <c:lineChart>
        <c:grouping val="standard"/>
        <c:varyColors val="0"/>
        <c:ser>
          <c:idx val="3"/>
          <c:order val="3"/>
          <c:tx>
            <c:strRef>
              <c:f>'Office execution Rep. Quarterly'!$F$3</c:f>
              <c:strCache>
                <c:ptCount val="1"/>
                <c:pt idx="0">
                  <c:v>%ge of completed to total allotted</c:v>
                </c:pt>
              </c:strCache>
            </c:strRef>
          </c:tx>
          <c:marker>
            <c:symbol val="none"/>
          </c:marker>
          <c:cat>
            <c:strRef>
              <c:f>'Office execution Rep. Quarterly'!$B$4:$B$6</c:f>
              <c:strCache>
                <c:ptCount val="3"/>
                <c:pt idx="0">
                  <c:v>April</c:v>
                </c:pt>
                <c:pt idx="1">
                  <c:v>May</c:v>
                </c:pt>
                <c:pt idx="2">
                  <c:v>June</c:v>
                </c:pt>
              </c:strCache>
            </c:strRef>
          </c:cat>
          <c:val>
            <c:numRef>
              <c:f>'Office execution Rep. Quarterly'!$F$4:$F$6</c:f>
              <c:numCache>
                <c:formatCode>0%</c:formatCode>
                <c:ptCount val="3"/>
                <c:pt idx="0">
                  <c:v>0.55450236966824595</c:v>
                </c:pt>
                <c:pt idx="1">
                  <c:v>0.5</c:v>
                </c:pt>
                <c:pt idx="2">
                  <c:v>0.64102564102564108</c:v>
                </c:pt>
              </c:numCache>
            </c:numRef>
          </c:val>
          <c:smooth val="0"/>
        </c:ser>
        <c:ser>
          <c:idx val="4"/>
          <c:order val="4"/>
          <c:tx>
            <c:strRef>
              <c:f>'Office execution Rep. Quarterly'!$G$3</c:f>
              <c:strCache>
                <c:ptCount val="1"/>
                <c:pt idx="0">
                  <c:v>%ge of remaining to total allotted</c:v>
                </c:pt>
              </c:strCache>
            </c:strRef>
          </c:tx>
          <c:marker>
            <c:symbol val="none"/>
          </c:marker>
          <c:cat>
            <c:strRef>
              <c:f>'Office execution Rep. Quarterly'!$B$4:$B$6</c:f>
              <c:strCache>
                <c:ptCount val="3"/>
                <c:pt idx="0">
                  <c:v>April</c:v>
                </c:pt>
                <c:pt idx="1">
                  <c:v>May</c:v>
                </c:pt>
                <c:pt idx="2">
                  <c:v>June</c:v>
                </c:pt>
              </c:strCache>
            </c:strRef>
          </c:cat>
          <c:val>
            <c:numRef>
              <c:f>'Office execution Rep. Quarterly'!$G$4:$G$6</c:f>
              <c:numCache>
                <c:formatCode>0%</c:formatCode>
                <c:ptCount val="3"/>
                <c:pt idx="0">
                  <c:v>0.44549763033175355</c:v>
                </c:pt>
                <c:pt idx="1">
                  <c:v>0.5</c:v>
                </c:pt>
                <c:pt idx="2">
                  <c:v>0.35897435897435898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37021824"/>
        <c:axId val="237018112"/>
      </c:lineChart>
      <c:catAx>
        <c:axId val="23700915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237016192"/>
        <c:crosses val="autoZero"/>
        <c:auto val="1"/>
        <c:lblAlgn val="ctr"/>
        <c:lblOffset val="100"/>
        <c:noMultiLvlLbl val="0"/>
      </c:catAx>
      <c:valAx>
        <c:axId val="237016192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No. of due-date task</a:t>
                </a:r>
              </a:p>
            </c:rich>
          </c:tx>
          <c:layout/>
          <c:overlay val="0"/>
        </c:title>
        <c:numFmt formatCode="General" sourceLinked="1"/>
        <c:majorTickMark val="out"/>
        <c:minorTickMark val="none"/>
        <c:tickLblPos val="nextTo"/>
        <c:crossAx val="237009152"/>
        <c:crosses val="autoZero"/>
        <c:crossBetween val="between"/>
      </c:valAx>
      <c:valAx>
        <c:axId val="237018112"/>
        <c:scaling>
          <c:orientation val="minMax"/>
        </c:scaling>
        <c:delete val="0"/>
        <c:axPos val="r"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%ge of completed and remaining work</a:t>
                </a:r>
              </a:p>
            </c:rich>
          </c:tx>
          <c:layout/>
          <c:overlay val="0"/>
        </c:title>
        <c:numFmt formatCode="0%" sourceLinked="1"/>
        <c:majorTickMark val="out"/>
        <c:minorTickMark val="none"/>
        <c:tickLblPos val="nextTo"/>
        <c:crossAx val="237021824"/>
        <c:crosses val="max"/>
        <c:crossBetween val="between"/>
      </c:valAx>
      <c:catAx>
        <c:axId val="237021824"/>
        <c:scaling>
          <c:orientation val="minMax"/>
        </c:scaling>
        <c:delete val="1"/>
        <c:axPos val="b"/>
        <c:majorTickMark val="out"/>
        <c:minorTickMark val="none"/>
        <c:tickLblPos val="nextTo"/>
        <c:crossAx val="237018112"/>
        <c:crosses val="autoZero"/>
        <c:auto val="1"/>
        <c:lblAlgn val="ctr"/>
        <c:lblOffset val="100"/>
        <c:noMultiLvlLbl val="0"/>
      </c:cat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Offices overall project assignment task performance</a:t>
            </a:r>
          </a:p>
        </c:rich>
      </c:tx>
      <c:layout>
        <c:manualLayout>
          <c:xMode val="edge"/>
          <c:yMode val="edge"/>
          <c:x val="7.7079029362493917E-2"/>
          <c:y val="2.8282828282828285E-2"/>
        </c:manualLayout>
      </c:layout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'Office execution Rep. Quarterly'!$C$24</c:f>
              <c:strCache>
                <c:ptCount val="1"/>
                <c:pt idx="0">
                  <c:v>Project assignment tasks allotted</c:v>
                </c:pt>
              </c:strCache>
            </c:strRef>
          </c:tx>
          <c:invertIfNegative val="0"/>
          <c:cat>
            <c:strRef>
              <c:f>'Office execution Rep. Quarterly'!$B$25:$B$27</c:f>
              <c:strCache>
                <c:ptCount val="3"/>
                <c:pt idx="0">
                  <c:v>April</c:v>
                </c:pt>
                <c:pt idx="1">
                  <c:v>May</c:v>
                </c:pt>
                <c:pt idx="2">
                  <c:v>June</c:v>
                </c:pt>
              </c:strCache>
            </c:strRef>
          </c:cat>
          <c:val>
            <c:numRef>
              <c:f>'Office execution Rep. Quarterly'!$C$25:$C$27</c:f>
              <c:numCache>
                <c:formatCode>General</c:formatCode>
                <c:ptCount val="3"/>
                <c:pt idx="0">
                  <c:v>200</c:v>
                </c:pt>
                <c:pt idx="1">
                  <c:v>320</c:v>
                </c:pt>
                <c:pt idx="2">
                  <c:v>300</c:v>
                </c:pt>
              </c:numCache>
            </c:numRef>
          </c:val>
        </c:ser>
        <c:ser>
          <c:idx val="1"/>
          <c:order val="1"/>
          <c:tx>
            <c:strRef>
              <c:f>'Office execution Rep. Quarterly'!$D$24</c:f>
              <c:strCache>
                <c:ptCount val="1"/>
                <c:pt idx="0">
                  <c:v>Project assignment tasks completed</c:v>
                </c:pt>
              </c:strCache>
            </c:strRef>
          </c:tx>
          <c:invertIfNegative val="0"/>
          <c:cat>
            <c:strRef>
              <c:f>'Office execution Rep. Quarterly'!$B$25:$B$27</c:f>
              <c:strCache>
                <c:ptCount val="3"/>
                <c:pt idx="0">
                  <c:v>April</c:v>
                </c:pt>
                <c:pt idx="1">
                  <c:v>May</c:v>
                </c:pt>
                <c:pt idx="2">
                  <c:v>June</c:v>
                </c:pt>
              </c:strCache>
            </c:strRef>
          </c:cat>
          <c:val>
            <c:numRef>
              <c:f>'Office execution Rep. Quarterly'!$D$25:$D$27</c:f>
              <c:numCache>
                <c:formatCode>General</c:formatCode>
                <c:ptCount val="3"/>
                <c:pt idx="0">
                  <c:v>150</c:v>
                </c:pt>
                <c:pt idx="1">
                  <c:v>200</c:v>
                </c:pt>
                <c:pt idx="2">
                  <c:v>250</c:v>
                </c:pt>
              </c:numCache>
            </c:numRef>
          </c:val>
        </c:ser>
        <c:ser>
          <c:idx val="2"/>
          <c:order val="2"/>
          <c:tx>
            <c:strRef>
              <c:f>'Office execution Rep. Quarterly'!$E$24</c:f>
              <c:strCache>
                <c:ptCount val="1"/>
                <c:pt idx="0">
                  <c:v>Remaining</c:v>
                </c:pt>
              </c:strCache>
            </c:strRef>
          </c:tx>
          <c:invertIfNegative val="0"/>
          <c:cat>
            <c:strRef>
              <c:f>'Office execution Rep. Quarterly'!$B$25:$B$27</c:f>
              <c:strCache>
                <c:ptCount val="3"/>
                <c:pt idx="0">
                  <c:v>April</c:v>
                </c:pt>
                <c:pt idx="1">
                  <c:v>May</c:v>
                </c:pt>
                <c:pt idx="2">
                  <c:v>June</c:v>
                </c:pt>
              </c:strCache>
            </c:strRef>
          </c:cat>
          <c:val>
            <c:numRef>
              <c:f>'Office execution Rep. Quarterly'!$E$25:$E$27</c:f>
              <c:numCache>
                <c:formatCode>General</c:formatCode>
                <c:ptCount val="3"/>
                <c:pt idx="0">
                  <c:v>50</c:v>
                </c:pt>
                <c:pt idx="1">
                  <c:v>120</c:v>
                </c:pt>
                <c:pt idx="2">
                  <c:v>50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95934080"/>
        <c:axId val="236631936"/>
      </c:barChart>
      <c:lineChart>
        <c:grouping val="standard"/>
        <c:varyColors val="0"/>
        <c:ser>
          <c:idx val="3"/>
          <c:order val="3"/>
          <c:tx>
            <c:strRef>
              <c:f>'Office execution Rep. Quarterly'!$F$24</c:f>
              <c:strCache>
                <c:ptCount val="1"/>
                <c:pt idx="0">
                  <c:v>%ge of completed to total allotted</c:v>
                </c:pt>
              </c:strCache>
            </c:strRef>
          </c:tx>
          <c:marker>
            <c:symbol val="none"/>
          </c:marker>
          <c:cat>
            <c:strRef>
              <c:f>'Office execution Rep. Quarterly'!$B$25:$B$27</c:f>
              <c:strCache>
                <c:ptCount val="3"/>
                <c:pt idx="0">
                  <c:v>April</c:v>
                </c:pt>
                <c:pt idx="1">
                  <c:v>May</c:v>
                </c:pt>
                <c:pt idx="2">
                  <c:v>June</c:v>
                </c:pt>
              </c:strCache>
            </c:strRef>
          </c:cat>
          <c:val>
            <c:numRef>
              <c:f>'Office execution Rep. Quarterly'!$F$25:$F$27</c:f>
              <c:numCache>
                <c:formatCode>0%</c:formatCode>
                <c:ptCount val="3"/>
                <c:pt idx="0">
                  <c:v>0.75</c:v>
                </c:pt>
                <c:pt idx="1">
                  <c:v>0.625</c:v>
                </c:pt>
                <c:pt idx="2">
                  <c:v>0.83333333333333337</c:v>
                </c:pt>
              </c:numCache>
            </c:numRef>
          </c:val>
          <c:smooth val="0"/>
        </c:ser>
        <c:ser>
          <c:idx val="4"/>
          <c:order val="4"/>
          <c:tx>
            <c:strRef>
              <c:f>'Office execution Rep. Quarterly'!$G$24</c:f>
              <c:strCache>
                <c:ptCount val="1"/>
                <c:pt idx="0">
                  <c:v>%ge of remaining to total allotted</c:v>
                </c:pt>
              </c:strCache>
            </c:strRef>
          </c:tx>
          <c:marker>
            <c:symbol val="none"/>
          </c:marker>
          <c:cat>
            <c:strRef>
              <c:f>'Office execution Rep. Quarterly'!$B$25:$B$27</c:f>
              <c:strCache>
                <c:ptCount val="3"/>
                <c:pt idx="0">
                  <c:v>April</c:v>
                </c:pt>
                <c:pt idx="1">
                  <c:v>May</c:v>
                </c:pt>
                <c:pt idx="2">
                  <c:v>June</c:v>
                </c:pt>
              </c:strCache>
            </c:strRef>
          </c:cat>
          <c:val>
            <c:numRef>
              <c:f>'Office execution Rep. Quarterly'!$G$25:$G$27</c:f>
              <c:numCache>
                <c:formatCode>0%</c:formatCode>
                <c:ptCount val="3"/>
                <c:pt idx="0">
                  <c:v>0.25</c:v>
                </c:pt>
                <c:pt idx="1">
                  <c:v>0.375</c:v>
                </c:pt>
                <c:pt idx="2">
                  <c:v>0.16666666666666666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00254208"/>
        <c:axId val="196319488"/>
      </c:lineChart>
      <c:catAx>
        <c:axId val="195934080"/>
        <c:scaling>
          <c:orientation val="minMax"/>
        </c:scaling>
        <c:delete val="0"/>
        <c:axPos val="b"/>
        <c:majorTickMark val="out"/>
        <c:minorTickMark val="none"/>
        <c:tickLblPos val="nextTo"/>
        <c:crossAx val="236631936"/>
        <c:crosses val="autoZero"/>
        <c:auto val="1"/>
        <c:lblAlgn val="ctr"/>
        <c:lblOffset val="100"/>
        <c:noMultiLvlLbl val="0"/>
      </c:catAx>
      <c:valAx>
        <c:axId val="236631936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No. of project assignment task</a:t>
                </a:r>
              </a:p>
            </c:rich>
          </c:tx>
          <c:layout/>
          <c:overlay val="0"/>
        </c:title>
        <c:numFmt formatCode="General" sourceLinked="1"/>
        <c:majorTickMark val="out"/>
        <c:minorTickMark val="none"/>
        <c:tickLblPos val="nextTo"/>
        <c:crossAx val="195934080"/>
        <c:crosses val="autoZero"/>
        <c:crossBetween val="between"/>
      </c:valAx>
      <c:valAx>
        <c:axId val="196319488"/>
        <c:scaling>
          <c:orientation val="minMax"/>
        </c:scaling>
        <c:delete val="0"/>
        <c:axPos val="r"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%ge of task completed and remaining</a:t>
                </a:r>
              </a:p>
            </c:rich>
          </c:tx>
          <c:layout/>
          <c:overlay val="0"/>
        </c:title>
        <c:numFmt formatCode="0%" sourceLinked="1"/>
        <c:majorTickMark val="out"/>
        <c:minorTickMark val="none"/>
        <c:tickLblPos val="nextTo"/>
        <c:crossAx val="200254208"/>
        <c:crosses val="max"/>
        <c:crossBetween val="between"/>
      </c:valAx>
      <c:catAx>
        <c:axId val="200254208"/>
        <c:scaling>
          <c:orientation val="minMax"/>
        </c:scaling>
        <c:delete val="1"/>
        <c:axPos val="b"/>
        <c:majorTickMark val="out"/>
        <c:minorTickMark val="none"/>
        <c:tickLblPos val="nextTo"/>
        <c:crossAx val="196319488"/>
        <c:auto val="1"/>
        <c:lblAlgn val="ctr"/>
        <c:lblOffset val="100"/>
        <c:noMultiLvlLbl val="0"/>
      </c:cat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Office wise leave analysis considering</a:t>
            </a:r>
            <a:r>
              <a:rPr lang="en-US" baseline="0"/>
              <a:t> leave type</a:t>
            </a:r>
            <a:endParaRPr lang="en-US"/>
          </a:p>
        </c:rich>
      </c:tx>
      <c:layout/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'All offices wise leave taken '!$D$3</c:f>
              <c:strCache>
                <c:ptCount val="1"/>
                <c:pt idx="0">
                  <c:v>No. of days</c:v>
                </c:pt>
              </c:strCache>
            </c:strRef>
          </c:tx>
          <c:invertIfNegative val="0"/>
          <c:cat>
            <c:multiLvlStrRef>
              <c:f>'All offices wise leave taken '!$B$4:$C$15</c:f>
              <c:multiLvlStrCache>
                <c:ptCount val="12"/>
                <c:lvl>
                  <c:pt idx="0">
                    <c:v>Casual</c:v>
                  </c:pt>
                  <c:pt idx="1">
                    <c:v>Sick Leave</c:v>
                  </c:pt>
                  <c:pt idx="2">
                    <c:v>Parental Leave</c:v>
                  </c:pt>
                  <c:pt idx="3">
                    <c:v>Compensatory Leave</c:v>
                  </c:pt>
                  <c:pt idx="4">
                    <c:v>Casual</c:v>
                  </c:pt>
                  <c:pt idx="5">
                    <c:v>Sick Leave</c:v>
                  </c:pt>
                  <c:pt idx="6">
                    <c:v>Parental Leave</c:v>
                  </c:pt>
                  <c:pt idx="7">
                    <c:v>Compensatory Leave</c:v>
                  </c:pt>
                  <c:pt idx="8">
                    <c:v>Casual</c:v>
                  </c:pt>
                  <c:pt idx="9">
                    <c:v>Sick Leave</c:v>
                  </c:pt>
                  <c:pt idx="10">
                    <c:v>Parental Leave</c:v>
                  </c:pt>
                  <c:pt idx="11">
                    <c:v>Compensatory Leave</c:v>
                  </c:pt>
                </c:lvl>
                <c:lvl>
                  <c:pt idx="0">
                    <c:v>ABC</c:v>
                  </c:pt>
                  <c:pt idx="4">
                    <c:v>DEF</c:v>
                  </c:pt>
                  <c:pt idx="8">
                    <c:v>GHI</c:v>
                  </c:pt>
                </c:lvl>
              </c:multiLvlStrCache>
            </c:multiLvlStrRef>
          </c:cat>
          <c:val>
            <c:numRef>
              <c:f>'All offices wise leave taken '!$D$4:$D$15</c:f>
              <c:numCache>
                <c:formatCode>General</c:formatCode>
                <c:ptCount val="12"/>
                <c:pt idx="0">
                  <c:v>20</c:v>
                </c:pt>
                <c:pt idx="1">
                  <c:v>28</c:v>
                </c:pt>
                <c:pt idx="2">
                  <c:v>130</c:v>
                </c:pt>
                <c:pt idx="3">
                  <c:v>18</c:v>
                </c:pt>
                <c:pt idx="4">
                  <c:v>25</c:v>
                </c:pt>
                <c:pt idx="5">
                  <c:v>30</c:v>
                </c:pt>
                <c:pt idx="6">
                  <c:v>60</c:v>
                </c:pt>
                <c:pt idx="7">
                  <c:v>10</c:v>
                </c:pt>
                <c:pt idx="8">
                  <c:v>10</c:v>
                </c:pt>
                <c:pt idx="9">
                  <c:v>35</c:v>
                </c:pt>
                <c:pt idx="10">
                  <c:v>80</c:v>
                </c:pt>
                <c:pt idx="11">
                  <c:v>15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75"/>
        <c:overlap val="-25"/>
        <c:axId val="242447488"/>
        <c:axId val="242454528"/>
      </c:barChart>
      <c:lineChart>
        <c:grouping val="standard"/>
        <c:varyColors val="0"/>
        <c:ser>
          <c:idx val="1"/>
          <c:order val="1"/>
          <c:tx>
            <c:strRef>
              <c:f>'All offices wise leave taken '!$E$3</c:f>
              <c:strCache>
                <c:ptCount val="1"/>
                <c:pt idx="0">
                  <c:v>Ratio</c:v>
                </c:pt>
              </c:strCache>
            </c:strRef>
          </c:tx>
          <c:marker>
            <c:symbol val="none"/>
          </c:marker>
          <c:cat>
            <c:multiLvlStrRef>
              <c:f>'All offices wise leave taken '!$B$4:$C$15</c:f>
              <c:multiLvlStrCache>
                <c:ptCount val="12"/>
                <c:lvl>
                  <c:pt idx="0">
                    <c:v>Casual</c:v>
                  </c:pt>
                  <c:pt idx="1">
                    <c:v>Sick Leave</c:v>
                  </c:pt>
                  <c:pt idx="2">
                    <c:v>Parental Leave</c:v>
                  </c:pt>
                  <c:pt idx="3">
                    <c:v>Compensatory Leave</c:v>
                  </c:pt>
                  <c:pt idx="4">
                    <c:v>Casual</c:v>
                  </c:pt>
                  <c:pt idx="5">
                    <c:v>Sick Leave</c:v>
                  </c:pt>
                  <c:pt idx="6">
                    <c:v>Parental Leave</c:v>
                  </c:pt>
                  <c:pt idx="7">
                    <c:v>Compensatory Leave</c:v>
                  </c:pt>
                  <c:pt idx="8">
                    <c:v>Casual</c:v>
                  </c:pt>
                  <c:pt idx="9">
                    <c:v>Sick Leave</c:v>
                  </c:pt>
                  <c:pt idx="10">
                    <c:v>Parental Leave</c:v>
                  </c:pt>
                  <c:pt idx="11">
                    <c:v>Compensatory Leave</c:v>
                  </c:pt>
                </c:lvl>
                <c:lvl>
                  <c:pt idx="0">
                    <c:v>ABC</c:v>
                  </c:pt>
                  <c:pt idx="4">
                    <c:v>DEF</c:v>
                  </c:pt>
                  <c:pt idx="8">
                    <c:v>GHI</c:v>
                  </c:pt>
                </c:lvl>
              </c:multiLvlStrCache>
            </c:multiLvlStrRef>
          </c:cat>
          <c:val>
            <c:numRef>
              <c:f>'All offices wise leave taken '!$E$4:$E$15</c:f>
              <c:numCache>
                <c:formatCode>0%</c:formatCode>
                <c:ptCount val="12"/>
                <c:pt idx="0">
                  <c:v>4.3383947939262472E-2</c:v>
                </c:pt>
                <c:pt idx="1">
                  <c:v>6.0737527114967459E-2</c:v>
                </c:pt>
                <c:pt idx="2">
                  <c:v>0.28199566160520606</c:v>
                </c:pt>
                <c:pt idx="3">
                  <c:v>3.9045553145336226E-2</c:v>
                </c:pt>
                <c:pt idx="4">
                  <c:v>5.4229934924078092E-2</c:v>
                </c:pt>
                <c:pt idx="5">
                  <c:v>6.5075921908893705E-2</c:v>
                </c:pt>
                <c:pt idx="6">
                  <c:v>0.13015184381778741</c:v>
                </c:pt>
                <c:pt idx="7">
                  <c:v>2.1691973969631236E-2</c:v>
                </c:pt>
                <c:pt idx="8">
                  <c:v>2.1691973969631236E-2</c:v>
                </c:pt>
                <c:pt idx="9">
                  <c:v>7.5921908893709325E-2</c:v>
                </c:pt>
                <c:pt idx="10">
                  <c:v>0.17353579175704989</c:v>
                </c:pt>
                <c:pt idx="11">
                  <c:v>3.2537960954446853E-2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42462720"/>
        <c:axId val="242456448"/>
      </c:lineChart>
      <c:catAx>
        <c:axId val="242447488"/>
        <c:scaling>
          <c:orientation val="minMax"/>
        </c:scaling>
        <c:delete val="0"/>
        <c:axPos val="b"/>
        <c:majorTickMark val="none"/>
        <c:minorTickMark val="none"/>
        <c:tickLblPos val="nextTo"/>
        <c:crossAx val="242454528"/>
        <c:crosses val="autoZero"/>
        <c:auto val="1"/>
        <c:lblAlgn val="ctr"/>
        <c:lblOffset val="100"/>
        <c:noMultiLvlLbl val="0"/>
      </c:catAx>
      <c:valAx>
        <c:axId val="242454528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No. of leaves</a:t>
                </a:r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extTo"/>
        <c:spPr>
          <a:ln w="9525">
            <a:noFill/>
          </a:ln>
        </c:spPr>
        <c:crossAx val="242447488"/>
        <c:crosses val="autoZero"/>
        <c:crossBetween val="between"/>
      </c:valAx>
      <c:valAx>
        <c:axId val="242456448"/>
        <c:scaling>
          <c:orientation val="minMax"/>
        </c:scaling>
        <c:delete val="0"/>
        <c:axPos val="r"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Ratio</a:t>
                </a:r>
                <a:r>
                  <a:rPr lang="en-US" baseline="0"/>
                  <a:t> of leave taken to total leave</a:t>
                </a:r>
                <a:endParaRPr lang="en-US"/>
              </a:p>
            </c:rich>
          </c:tx>
          <c:layout>
            <c:manualLayout>
              <c:xMode val="edge"/>
              <c:yMode val="edge"/>
              <c:x val="0.95207125858238895"/>
              <c:y val="0.13916756057666704"/>
            </c:manualLayout>
          </c:layout>
          <c:overlay val="0"/>
        </c:title>
        <c:numFmt formatCode="0%" sourceLinked="1"/>
        <c:majorTickMark val="out"/>
        <c:minorTickMark val="none"/>
        <c:tickLblPos val="nextTo"/>
        <c:crossAx val="242462720"/>
        <c:crosses val="max"/>
        <c:crossBetween val="between"/>
      </c:valAx>
      <c:catAx>
        <c:axId val="242462720"/>
        <c:scaling>
          <c:orientation val="minMax"/>
        </c:scaling>
        <c:delete val="1"/>
        <c:axPos val="b"/>
        <c:majorTickMark val="out"/>
        <c:minorTickMark val="none"/>
        <c:tickLblPos val="nextTo"/>
        <c:crossAx val="242456448"/>
        <c:crosses val="autoZero"/>
        <c:auto val="1"/>
        <c:lblAlgn val="ctr"/>
        <c:lblOffset val="100"/>
        <c:noMultiLvlLbl val="0"/>
      </c:catAx>
    </c:plotArea>
    <c:legend>
      <c:legendPos val="b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Overall leave taken in all the offices</a:t>
            </a:r>
          </a:p>
        </c:rich>
      </c:tx>
      <c:layout/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'All offices wise leave taken '!$C$21</c:f>
              <c:strCache>
                <c:ptCount val="1"/>
                <c:pt idx="0">
                  <c:v>No. of days</c:v>
                </c:pt>
              </c:strCache>
            </c:strRef>
          </c:tx>
          <c:invertIfNegative val="0"/>
          <c:cat>
            <c:strRef>
              <c:f>'All offices wise leave taken '!$B$22:$B$24</c:f>
              <c:strCache>
                <c:ptCount val="3"/>
                <c:pt idx="0">
                  <c:v>ABC</c:v>
                </c:pt>
                <c:pt idx="1">
                  <c:v>DEF</c:v>
                </c:pt>
                <c:pt idx="2">
                  <c:v>GHI</c:v>
                </c:pt>
              </c:strCache>
            </c:strRef>
          </c:cat>
          <c:val>
            <c:numRef>
              <c:f>'All offices wise leave taken '!$C$22:$C$24</c:f>
              <c:numCache>
                <c:formatCode>General</c:formatCode>
                <c:ptCount val="3"/>
                <c:pt idx="0">
                  <c:v>196</c:v>
                </c:pt>
                <c:pt idx="1">
                  <c:v>125</c:v>
                </c:pt>
                <c:pt idx="2">
                  <c:v>140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43706880"/>
        <c:axId val="248095488"/>
      </c:barChart>
      <c:lineChart>
        <c:grouping val="standard"/>
        <c:varyColors val="0"/>
        <c:ser>
          <c:idx val="1"/>
          <c:order val="1"/>
          <c:tx>
            <c:strRef>
              <c:f>'All offices wise leave taken '!$D$21</c:f>
              <c:strCache>
                <c:ptCount val="1"/>
                <c:pt idx="0">
                  <c:v>Ratio</c:v>
                </c:pt>
              </c:strCache>
            </c:strRef>
          </c:tx>
          <c:marker>
            <c:symbol val="none"/>
          </c:marker>
          <c:cat>
            <c:strRef>
              <c:f>'All offices wise leave taken '!$B$22:$B$24</c:f>
              <c:strCache>
                <c:ptCount val="3"/>
                <c:pt idx="0">
                  <c:v>ABC</c:v>
                </c:pt>
                <c:pt idx="1">
                  <c:v>DEF</c:v>
                </c:pt>
                <c:pt idx="2">
                  <c:v>GHI</c:v>
                </c:pt>
              </c:strCache>
            </c:strRef>
          </c:cat>
          <c:val>
            <c:numRef>
              <c:f>'All offices wise leave taken '!$D$22:$D$24</c:f>
              <c:numCache>
                <c:formatCode>0%</c:formatCode>
                <c:ptCount val="3"/>
                <c:pt idx="0">
                  <c:v>0.42516268980477223</c:v>
                </c:pt>
                <c:pt idx="1">
                  <c:v>0.27114967462039047</c:v>
                </c:pt>
                <c:pt idx="2">
                  <c:v>0.3036876355748373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48105216"/>
        <c:axId val="248103296"/>
      </c:lineChart>
      <c:catAx>
        <c:axId val="243706880"/>
        <c:scaling>
          <c:orientation val="minMax"/>
        </c:scaling>
        <c:delete val="0"/>
        <c:axPos val="b"/>
        <c:majorTickMark val="out"/>
        <c:minorTickMark val="none"/>
        <c:tickLblPos val="nextTo"/>
        <c:crossAx val="248095488"/>
        <c:crosses val="autoZero"/>
        <c:auto val="1"/>
        <c:lblAlgn val="ctr"/>
        <c:lblOffset val="100"/>
        <c:noMultiLvlLbl val="0"/>
      </c:catAx>
      <c:valAx>
        <c:axId val="248095488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No of leaves</a:t>
                </a:r>
              </a:p>
            </c:rich>
          </c:tx>
          <c:layout/>
          <c:overlay val="0"/>
        </c:title>
        <c:numFmt formatCode="General" sourceLinked="1"/>
        <c:majorTickMark val="out"/>
        <c:minorTickMark val="none"/>
        <c:tickLblPos val="nextTo"/>
        <c:crossAx val="243706880"/>
        <c:crosses val="autoZero"/>
        <c:crossBetween val="between"/>
      </c:valAx>
      <c:valAx>
        <c:axId val="248103296"/>
        <c:scaling>
          <c:orientation val="minMax"/>
        </c:scaling>
        <c:delete val="0"/>
        <c:axPos val="r"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Ratio of leave taken to total leave</a:t>
                </a:r>
              </a:p>
            </c:rich>
          </c:tx>
          <c:layout/>
          <c:overlay val="0"/>
        </c:title>
        <c:numFmt formatCode="0%" sourceLinked="1"/>
        <c:majorTickMark val="out"/>
        <c:minorTickMark val="none"/>
        <c:tickLblPos val="nextTo"/>
        <c:crossAx val="248105216"/>
        <c:crosses val="max"/>
        <c:crossBetween val="between"/>
      </c:valAx>
      <c:catAx>
        <c:axId val="248105216"/>
        <c:scaling>
          <c:orientation val="minMax"/>
        </c:scaling>
        <c:delete val="1"/>
        <c:axPos val="b"/>
        <c:majorTickMark val="out"/>
        <c:minorTickMark val="none"/>
        <c:tickLblPos val="nextTo"/>
        <c:crossAx val="248103296"/>
        <c:crosses val="autoZero"/>
        <c:auto val="1"/>
        <c:lblAlgn val="ctr"/>
        <c:lblOffset val="100"/>
        <c:noMultiLvlLbl val="0"/>
      </c:cat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Office wise quarterly leave report</a:t>
            </a:r>
          </a:p>
        </c:rich>
      </c:tx>
      <c:layout/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'office wise quarterly leave re.'!$D$3</c:f>
              <c:strCache>
                <c:ptCount val="1"/>
                <c:pt idx="0">
                  <c:v>No. of days</c:v>
                </c:pt>
              </c:strCache>
            </c:strRef>
          </c:tx>
          <c:invertIfNegative val="0"/>
          <c:cat>
            <c:multiLvlStrRef>
              <c:f>'office wise quarterly leave re.'!$B$4:$C$15</c:f>
              <c:multiLvlStrCache>
                <c:ptCount val="12"/>
                <c:lvl>
                  <c:pt idx="0">
                    <c:v>Casual</c:v>
                  </c:pt>
                  <c:pt idx="1">
                    <c:v>Sick Leave</c:v>
                  </c:pt>
                  <c:pt idx="2">
                    <c:v>Parental Leave</c:v>
                  </c:pt>
                  <c:pt idx="3">
                    <c:v>Compensatory Leave</c:v>
                  </c:pt>
                  <c:pt idx="4">
                    <c:v>Casual</c:v>
                  </c:pt>
                  <c:pt idx="5">
                    <c:v>Sick Leave</c:v>
                  </c:pt>
                  <c:pt idx="6">
                    <c:v>Parental Leave</c:v>
                  </c:pt>
                  <c:pt idx="7">
                    <c:v>Compensatory Leave</c:v>
                  </c:pt>
                  <c:pt idx="8">
                    <c:v>Casual</c:v>
                  </c:pt>
                  <c:pt idx="9">
                    <c:v>Sick Leave</c:v>
                  </c:pt>
                  <c:pt idx="10">
                    <c:v>Parental Leave</c:v>
                  </c:pt>
                  <c:pt idx="11">
                    <c:v>Compensatory Leave</c:v>
                  </c:pt>
                </c:lvl>
                <c:lvl>
                  <c:pt idx="0">
                    <c:v>April</c:v>
                  </c:pt>
                  <c:pt idx="4">
                    <c:v>May</c:v>
                  </c:pt>
                  <c:pt idx="8">
                    <c:v>June</c:v>
                  </c:pt>
                </c:lvl>
              </c:multiLvlStrCache>
            </c:multiLvlStrRef>
          </c:cat>
          <c:val>
            <c:numRef>
              <c:f>'office wise quarterly leave re.'!$D$4:$D$15</c:f>
              <c:numCache>
                <c:formatCode>General</c:formatCode>
                <c:ptCount val="12"/>
                <c:pt idx="0">
                  <c:v>20</c:v>
                </c:pt>
                <c:pt idx="1">
                  <c:v>28</c:v>
                </c:pt>
                <c:pt idx="2">
                  <c:v>130</c:v>
                </c:pt>
                <c:pt idx="3">
                  <c:v>18</c:v>
                </c:pt>
                <c:pt idx="4">
                  <c:v>15</c:v>
                </c:pt>
                <c:pt idx="5">
                  <c:v>25</c:v>
                </c:pt>
                <c:pt idx="6">
                  <c:v>30</c:v>
                </c:pt>
                <c:pt idx="7">
                  <c:v>5</c:v>
                </c:pt>
                <c:pt idx="8">
                  <c:v>10</c:v>
                </c:pt>
                <c:pt idx="9">
                  <c:v>20</c:v>
                </c:pt>
                <c:pt idx="10">
                  <c:v>40</c:v>
                </c:pt>
                <c:pt idx="11">
                  <c:v>15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75"/>
        <c:overlap val="-25"/>
        <c:axId val="156149632"/>
        <c:axId val="156151168"/>
      </c:barChart>
      <c:lineChart>
        <c:grouping val="standard"/>
        <c:varyColors val="0"/>
        <c:ser>
          <c:idx val="1"/>
          <c:order val="1"/>
          <c:tx>
            <c:strRef>
              <c:f>'office wise quarterly leave re.'!$E$3</c:f>
              <c:strCache>
                <c:ptCount val="1"/>
                <c:pt idx="0">
                  <c:v>Ratio</c:v>
                </c:pt>
              </c:strCache>
            </c:strRef>
          </c:tx>
          <c:marker>
            <c:symbol val="none"/>
          </c:marker>
          <c:cat>
            <c:multiLvlStrRef>
              <c:f>'office wise quarterly leave re.'!$B$4:$C$15</c:f>
              <c:multiLvlStrCache>
                <c:ptCount val="12"/>
                <c:lvl>
                  <c:pt idx="0">
                    <c:v>Casual</c:v>
                  </c:pt>
                  <c:pt idx="1">
                    <c:v>Sick Leave</c:v>
                  </c:pt>
                  <c:pt idx="2">
                    <c:v>Parental Leave</c:v>
                  </c:pt>
                  <c:pt idx="3">
                    <c:v>Compensatory Leave</c:v>
                  </c:pt>
                  <c:pt idx="4">
                    <c:v>Casual</c:v>
                  </c:pt>
                  <c:pt idx="5">
                    <c:v>Sick Leave</c:v>
                  </c:pt>
                  <c:pt idx="6">
                    <c:v>Parental Leave</c:v>
                  </c:pt>
                  <c:pt idx="7">
                    <c:v>Compensatory Leave</c:v>
                  </c:pt>
                  <c:pt idx="8">
                    <c:v>Casual</c:v>
                  </c:pt>
                  <c:pt idx="9">
                    <c:v>Sick Leave</c:v>
                  </c:pt>
                  <c:pt idx="10">
                    <c:v>Parental Leave</c:v>
                  </c:pt>
                  <c:pt idx="11">
                    <c:v>Compensatory Leave</c:v>
                  </c:pt>
                </c:lvl>
                <c:lvl>
                  <c:pt idx="0">
                    <c:v>April</c:v>
                  </c:pt>
                  <c:pt idx="4">
                    <c:v>May</c:v>
                  </c:pt>
                  <c:pt idx="8">
                    <c:v>June</c:v>
                  </c:pt>
                </c:lvl>
              </c:multiLvlStrCache>
            </c:multiLvlStrRef>
          </c:cat>
          <c:val>
            <c:numRef>
              <c:f>'office wise quarterly leave re.'!$E$4:$E$15</c:f>
              <c:numCache>
                <c:formatCode>0%</c:formatCode>
                <c:ptCount val="12"/>
                <c:pt idx="0">
                  <c:v>5.6179775280898875E-2</c:v>
                </c:pt>
                <c:pt idx="1">
                  <c:v>7.8651685393258425E-2</c:v>
                </c:pt>
                <c:pt idx="2">
                  <c:v>0.3651685393258427</c:v>
                </c:pt>
                <c:pt idx="3">
                  <c:v>5.0561797752808987E-2</c:v>
                </c:pt>
                <c:pt idx="4">
                  <c:v>4.2134831460674156E-2</c:v>
                </c:pt>
                <c:pt idx="5">
                  <c:v>7.02247191011236E-2</c:v>
                </c:pt>
                <c:pt idx="6">
                  <c:v>8.4269662921348312E-2</c:v>
                </c:pt>
                <c:pt idx="7">
                  <c:v>1.4044943820224719E-2</c:v>
                </c:pt>
                <c:pt idx="8">
                  <c:v>2.8089887640449437E-2</c:v>
                </c:pt>
                <c:pt idx="9">
                  <c:v>5.6179775280898875E-2</c:v>
                </c:pt>
                <c:pt idx="10">
                  <c:v>0.11235955056179775</c:v>
                </c:pt>
                <c:pt idx="11">
                  <c:v>4.2134831460674156E-2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56154496"/>
        <c:axId val="156152960"/>
      </c:lineChart>
      <c:catAx>
        <c:axId val="156149632"/>
        <c:scaling>
          <c:orientation val="minMax"/>
        </c:scaling>
        <c:delete val="0"/>
        <c:axPos val="b"/>
        <c:majorTickMark val="none"/>
        <c:minorTickMark val="none"/>
        <c:tickLblPos val="nextTo"/>
        <c:crossAx val="156151168"/>
        <c:crosses val="autoZero"/>
        <c:auto val="1"/>
        <c:lblAlgn val="ctr"/>
        <c:lblOffset val="100"/>
        <c:noMultiLvlLbl val="0"/>
      </c:catAx>
      <c:valAx>
        <c:axId val="156151168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No. of leaves</a:t>
                </a:r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extTo"/>
        <c:spPr>
          <a:ln w="9525">
            <a:noFill/>
          </a:ln>
        </c:spPr>
        <c:crossAx val="156149632"/>
        <c:crosses val="autoZero"/>
        <c:crossBetween val="between"/>
      </c:valAx>
      <c:valAx>
        <c:axId val="156152960"/>
        <c:scaling>
          <c:orientation val="minMax"/>
        </c:scaling>
        <c:delete val="0"/>
        <c:axPos val="r"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Ratio of leave taken to total leave</a:t>
                </a:r>
              </a:p>
            </c:rich>
          </c:tx>
          <c:layout/>
          <c:overlay val="0"/>
        </c:title>
        <c:numFmt formatCode="0%" sourceLinked="1"/>
        <c:majorTickMark val="out"/>
        <c:minorTickMark val="none"/>
        <c:tickLblPos val="nextTo"/>
        <c:crossAx val="156154496"/>
        <c:crosses val="max"/>
        <c:crossBetween val="between"/>
      </c:valAx>
      <c:catAx>
        <c:axId val="156154496"/>
        <c:scaling>
          <c:orientation val="minMax"/>
        </c:scaling>
        <c:delete val="1"/>
        <c:axPos val="b"/>
        <c:majorTickMark val="out"/>
        <c:minorTickMark val="none"/>
        <c:tickLblPos val="nextTo"/>
        <c:crossAx val="156152960"/>
        <c:crosses val="autoZero"/>
        <c:auto val="1"/>
        <c:lblAlgn val="ctr"/>
        <c:lblOffset val="100"/>
        <c:noMultiLvlLbl val="0"/>
      </c:catAx>
    </c:plotArea>
    <c:legend>
      <c:legendPos val="b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Leave </a:t>
            </a:r>
          </a:p>
        </c:rich>
      </c:tx>
      <c:layout/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'office wise quarterly leave re.'!$C$19</c:f>
              <c:strCache>
                <c:ptCount val="1"/>
                <c:pt idx="0">
                  <c:v>No. of days</c:v>
                </c:pt>
              </c:strCache>
            </c:strRef>
          </c:tx>
          <c:invertIfNegative val="0"/>
          <c:cat>
            <c:strRef>
              <c:f>'office wise quarterly leave re.'!$B$20:$B$22</c:f>
              <c:strCache>
                <c:ptCount val="3"/>
                <c:pt idx="0">
                  <c:v>April</c:v>
                </c:pt>
                <c:pt idx="1">
                  <c:v>May</c:v>
                </c:pt>
                <c:pt idx="2">
                  <c:v>June</c:v>
                </c:pt>
              </c:strCache>
            </c:strRef>
          </c:cat>
          <c:val>
            <c:numRef>
              <c:f>'office wise quarterly leave re.'!$C$20:$C$22</c:f>
              <c:numCache>
                <c:formatCode>General</c:formatCode>
                <c:ptCount val="3"/>
                <c:pt idx="0">
                  <c:v>196</c:v>
                </c:pt>
                <c:pt idx="1">
                  <c:v>75</c:v>
                </c:pt>
                <c:pt idx="2">
                  <c:v>85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56168960"/>
        <c:axId val="156170496"/>
      </c:barChart>
      <c:lineChart>
        <c:grouping val="standard"/>
        <c:varyColors val="0"/>
        <c:ser>
          <c:idx val="1"/>
          <c:order val="1"/>
          <c:tx>
            <c:strRef>
              <c:f>'office wise quarterly leave re.'!$D$19</c:f>
              <c:strCache>
                <c:ptCount val="1"/>
                <c:pt idx="0">
                  <c:v>Ratio</c:v>
                </c:pt>
              </c:strCache>
            </c:strRef>
          </c:tx>
          <c:marker>
            <c:symbol val="none"/>
          </c:marker>
          <c:cat>
            <c:strRef>
              <c:f>'office wise quarterly leave re.'!$B$20:$B$22</c:f>
              <c:strCache>
                <c:ptCount val="3"/>
                <c:pt idx="0">
                  <c:v>April</c:v>
                </c:pt>
                <c:pt idx="1">
                  <c:v>May</c:v>
                </c:pt>
                <c:pt idx="2">
                  <c:v>June</c:v>
                </c:pt>
              </c:strCache>
            </c:strRef>
          </c:cat>
          <c:val>
            <c:numRef>
              <c:f>'office wise quarterly leave re.'!$D$20:$D$22</c:f>
              <c:numCache>
                <c:formatCode>0%</c:formatCode>
                <c:ptCount val="3"/>
                <c:pt idx="0">
                  <c:v>0.550561797752809</c:v>
                </c:pt>
                <c:pt idx="1">
                  <c:v>0.21067415730337077</c:v>
                </c:pt>
                <c:pt idx="2">
                  <c:v>0.23876404494382023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56173824"/>
        <c:axId val="156172288"/>
      </c:lineChart>
      <c:catAx>
        <c:axId val="156168960"/>
        <c:scaling>
          <c:orientation val="minMax"/>
        </c:scaling>
        <c:delete val="0"/>
        <c:axPos val="b"/>
        <c:majorTickMark val="out"/>
        <c:minorTickMark val="none"/>
        <c:tickLblPos val="nextTo"/>
        <c:crossAx val="156170496"/>
        <c:crosses val="autoZero"/>
        <c:auto val="1"/>
        <c:lblAlgn val="ctr"/>
        <c:lblOffset val="100"/>
        <c:noMultiLvlLbl val="0"/>
      </c:catAx>
      <c:valAx>
        <c:axId val="156170496"/>
        <c:scaling>
          <c:orientation val="minMax"/>
        </c:scaling>
        <c:delete val="0"/>
        <c:axPos val="l"/>
        <c:majorGridlines/>
        <c:title>
          <c:layout/>
          <c:overlay val="0"/>
          <c:txPr>
            <a:bodyPr rot="-5400000" vert="horz"/>
            <a:lstStyle/>
            <a:p>
              <a:pPr>
                <a:defRPr/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crossAx val="156168960"/>
        <c:crosses val="autoZero"/>
        <c:crossBetween val="between"/>
      </c:valAx>
      <c:valAx>
        <c:axId val="156172288"/>
        <c:scaling>
          <c:orientation val="minMax"/>
        </c:scaling>
        <c:delete val="0"/>
        <c:axPos val="r"/>
        <c:title>
          <c:layout/>
          <c:overlay val="0"/>
          <c:txPr>
            <a:bodyPr rot="-5400000" vert="horz"/>
            <a:lstStyle/>
            <a:p>
              <a:pPr>
                <a:defRPr/>
              </a:pPr>
              <a:endParaRPr lang="en-US"/>
            </a:p>
          </c:txPr>
        </c:title>
        <c:numFmt formatCode="0%" sourceLinked="1"/>
        <c:majorTickMark val="out"/>
        <c:minorTickMark val="none"/>
        <c:tickLblPos val="nextTo"/>
        <c:crossAx val="156173824"/>
        <c:crosses val="max"/>
        <c:crossBetween val="between"/>
      </c:valAx>
      <c:catAx>
        <c:axId val="156173824"/>
        <c:scaling>
          <c:orientation val="minMax"/>
        </c:scaling>
        <c:delete val="1"/>
        <c:axPos val="b"/>
        <c:majorTickMark val="out"/>
        <c:minorTickMark val="none"/>
        <c:tickLblPos val="nextTo"/>
        <c:crossAx val="156172288"/>
        <c:crosses val="autoZero"/>
        <c:auto val="1"/>
        <c:lblAlgn val="ctr"/>
        <c:lblOffset val="100"/>
        <c:noMultiLvlLbl val="0"/>
      </c:cat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'office wise quarterly leave re.'!$D$37</c:f>
              <c:strCache>
                <c:ptCount val="1"/>
                <c:pt idx="0">
                  <c:v>No. of days</c:v>
                </c:pt>
              </c:strCache>
            </c:strRef>
          </c:tx>
          <c:invertIfNegative val="0"/>
          <c:cat>
            <c:multiLvlStrRef>
              <c:f>'office wise quarterly leave re.'!$B$38:$C$40</c:f>
              <c:multiLvlStrCache>
                <c:ptCount val="3"/>
                <c:lvl>
                  <c:pt idx="0">
                    <c:v>Casual</c:v>
                  </c:pt>
                  <c:pt idx="1">
                    <c:v>Casual</c:v>
                  </c:pt>
                  <c:pt idx="2">
                    <c:v>Casual</c:v>
                  </c:pt>
                </c:lvl>
                <c:lvl>
                  <c:pt idx="0">
                    <c:v>April</c:v>
                  </c:pt>
                  <c:pt idx="1">
                    <c:v>May</c:v>
                  </c:pt>
                  <c:pt idx="2">
                    <c:v>June</c:v>
                  </c:pt>
                </c:lvl>
              </c:multiLvlStrCache>
            </c:multiLvlStrRef>
          </c:cat>
          <c:val>
            <c:numRef>
              <c:f>'office wise quarterly leave re.'!$D$38:$D$40</c:f>
              <c:numCache>
                <c:formatCode>General</c:formatCode>
                <c:ptCount val="3"/>
                <c:pt idx="0">
                  <c:v>20</c:v>
                </c:pt>
                <c:pt idx="1">
                  <c:v>15</c:v>
                </c:pt>
                <c:pt idx="2">
                  <c:v>10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56195840"/>
        <c:axId val="156201728"/>
      </c:barChart>
      <c:lineChart>
        <c:grouping val="standard"/>
        <c:varyColors val="0"/>
        <c:ser>
          <c:idx val="1"/>
          <c:order val="1"/>
          <c:tx>
            <c:strRef>
              <c:f>'office wise quarterly leave re.'!$E$37</c:f>
              <c:strCache>
                <c:ptCount val="1"/>
                <c:pt idx="0">
                  <c:v>Ratio</c:v>
                </c:pt>
              </c:strCache>
            </c:strRef>
          </c:tx>
          <c:marker>
            <c:symbol val="none"/>
          </c:marker>
          <c:cat>
            <c:multiLvlStrRef>
              <c:f>'office wise quarterly leave re.'!$B$38:$C$40</c:f>
              <c:multiLvlStrCache>
                <c:ptCount val="3"/>
                <c:lvl>
                  <c:pt idx="0">
                    <c:v>Casual</c:v>
                  </c:pt>
                  <c:pt idx="1">
                    <c:v>Casual</c:v>
                  </c:pt>
                  <c:pt idx="2">
                    <c:v>Casual</c:v>
                  </c:pt>
                </c:lvl>
                <c:lvl>
                  <c:pt idx="0">
                    <c:v>April</c:v>
                  </c:pt>
                  <c:pt idx="1">
                    <c:v>May</c:v>
                  </c:pt>
                  <c:pt idx="2">
                    <c:v>June</c:v>
                  </c:pt>
                </c:lvl>
              </c:multiLvlStrCache>
            </c:multiLvlStrRef>
          </c:cat>
          <c:val>
            <c:numRef>
              <c:f>'office wise quarterly leave re.'!$E$38:$E$40</c:f>
              <c:numCache>
                <c:formatCode>0%</c:formatCode>
                <c:ptCount val="3"/>
                <c:pt idx="0">
                  <c:v>0.44444444444444442</c:v>
                </c:pt>
                <c:pt idx="1">
                  <c:v>0.33333333333333331</c:v>
                </c:pt>
                <c:pt idx="2">
                  <c:v>0.22222222222222221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56205056"/>
        <c:axId val="156203264"/>
      </c:lineChart>
      <c:catAx>
        <c:axId val="156195840"/>
        <c:scaling>
          <c:orientation val="minMax"/>
        </c:scaling>
        <c:delete val="0"/>
        <c:axPos val="b"/>
        <c:majorTickMark val="out"/>
        <c:minorTickMark val="none"/>
        <c:tickLblPos val="nextTo"/>
        <c:crossAx val="156201728"/>
        <c:crosses val="autoZero"/>
        <c:auto val="1"/>
        <c:lblAlgn val="ctr"/>
        <c:lblOffset val="100"/>
        <c:noMultiLvlLbl val="0"/>
      </c:catAx>
      <c:valAx>
        <c:axId val="156201728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56195840"/>
        <c:crosses val="autoZero"/>
        <c:crossBetween val="between"/>
      </c:valAx>
      <c:valAx>
        <c:axId val="156203264"/>
        <c:scaling>
          <c:orientation val="minMax"/>
        </c:scaling>
        <c:delete val="0"/>
        <c:axPos val="r"/>
        <c:numFmt formatCode="0%" sourceLinked="1"/>
        <c:majorTickMark val="out"/>
        <c:minorTickMark val="none"/>
        <c:tickLblPos val="nextTo"/>
        <c:crossAx val="156205056"/>
        <c:crosses val="max"/>
        <c:crossBetween val="between"/>
      </c:valAx>
      <c:catAx>
        <c:axId val="156205056"/>
        <c:scaling>
          <c:orientation val="minMax"/>
        </c:scaling>
        <c:delete val="1"/>
        <c:axPos val="b"/>
        <c:majorTickMark val="out"/>
        <c:minorTickMark val="none"/>
        <c:tickLblPos val="nextTo"/>
        <c:crossAx val="156203264"/>
        <c:crosses val="autoZero"/>
        <c:auto val="1"/>
        <c:lblAlgn val="ctr"/>
        <c:lblOffset val="100"/>
        <c:noMultiLvlLbl val="0"/>
      </c:cat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'office wise quarterly leave re.'!$D$57</c:f>
              <c:strCache>
                <c:ptCount val="1"/>
                <c:pt idx="0">
                  <c:v>No. of days</c:v>
                </c:pt>
              </c:strCache>
            </c:strRef>
          </c:tx>
          <c:invertIfNegative val="0"/>
          <c:cat>
            <c:multiLvlStrRef>
              <c:f>'office wise quarterly leave re.'!$B$58:$C$60</c:f>
              <c:multiLvlStrCache>
                <c:ptCount val="3"/>
                <c:lvl>
                  <c:pt idx="0">
                    <c:v>Sick Leave</c:v>
                  </c:pt>
                  <c:pt idx="1">
                    <c:v>Sick Leave</c:v>
                  </c:pt>
                  <c:pt idx="2">
                    <c:v>Sick Leave</c:v>
                  </c:pt>
                </c:lvl>
                <c:lvl>
                  <c:pt idx="0">
                    <c:v>April</c:v>
                  </c:pt>
                  <c:pt idx="1">
                    <c:v>May</c:v>
                  </c:pt>
                  <c:pt idx="2">
                    <c:v>June</c:v>
                  </c:pt>
                </c:lvl>
              </c:multiLvlStrCache>
            </c:multiLvlStrRef>
          </c:cat>
          <c:val>
            <c:numRef>
              <c:f>'office wise quarterly leave re.'!$D$58:$D$60</c:f>
              <c:numCache>
                <c:formatCode>General</c:formatCode>
                <c:ptCount val="3"/>
                <c:pt idx="0">
                  <c:v>28</c:v>
                </c:pt>
                <c:pt idx="1">
                  <c:v>25</c:v>
                </c:pt>
                <c:pt idx="2">
                  <c:v>20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56227072"/>
        <c:axId val="156228608"/>
      </c:barChart>
      <c:lineChart>
        <c:grouping val="standard"/>
        <c:varyColors val="0"/>
        <c:ser>
          <c:idx val="1"/>
          <c:order val="1"/>
          <c:tx>
            <c:strRef>
              <c:f>'office wise quarterly leave re.'!$E$57</c:f>
              <c:strCache>
                <c:ptCount val="1"/>
                <c:pt idx="0">
                  <c:v>Ratio</c:v>
                </c:pt>
              </c:strCache>
            </c:strRef>
          </c:tx>
          <c:marker>
            <c:symbol val="none"/>
          </c:marker>
          <c:cat>
            <c:multiLvlStrRef>
              <c:f>'office wise quarterly leave re.'!$B$58:$C$60</c:f>
              <c:multiLvlStrCache>
                <c:ptCount val="3"/>
                <c:lvl>
                  <c:pt idx="0">
                    <c:v>Sick Leave</c:v>
                  </c:pt>
                  <c:pt idx="1">
                    <c:v>Sick Leave</c:v>
                  </c:pt>
                  <c:pt idx="2">
                    <c:v>Sick Leave</c:v>
                  </c:pt>
                </c:lvl>
                <c:lvl>
                  <c:pt idx="0">
                    <c:v>April</c:v>
                  </c:pt>
                  <c:pt idx="1">
                    <c:v>May</c:v>
                  </c:pt>
                  <c:pt idx="2">
                    <c:v>June</c:v>
                  </c:pt>
                </c:lvl>
              </c:multiLvlStrCache>
            </c:multiLvlStrRef>
          </c:cat>
          <c:val>
            <c:numRef>
              <c:f>'office wise quarterly leave re.'!$E$58:$E$60</c:f>
              <c:numCache>
                <c:formatCode>0%</c:formatCode>
                <c:ptCount val="3"/>
                <c:pt idx="0">
                  <c:v>0.38356164383561642</c:v>
                </c:pt>
                <c:pt idx="1">
                  <c:v>0.34246575342465752</c:v>
                </c:pt>
                <c:pt idx="2">
                  <c:v>0.27397260273972601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56236032"/>
        <c:axId val="156234496"/>
      </c:lineChart>
      <c:catAx>
        <c:axId val="156227072"/>
        <c:scaling>
          <c:orientation val="minMax"/>
        </c:scaling>
        <c:delete val="0"/>
        <c:axPos val="b"/>
        <c:majorTickMark val="out"/>
        <c:minorTickMark val="none"/>
        <c:tickLblPos val="nextTo"/>
        <c:crossAx val="156228608"/>
        <c:crosses val="autoZero"/>
        <c:auto val="1"/>
        <c:lblAlgn val="ctr"/>
        <c:lblOffset val="100"/>
        <c:noMultiLvlLbl val="0"/>
      </c:catAx>
      <c:valAx>
        <c:axId val="156228608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56227072"/>
        <c:crosses val="autoZero"/>
        <c:crossBetween val="between"/>
      </c:valAx>
      <c:valAx>
        <c:axId val="156234496"/>
        <c:scaling>
          <c:orientation val="minMax"/>
        </c:scaling>
        <c:delete val="0"/>
        <c:axPos val="r"/>
        <c:numFmt formatCode="0%" sourceLinked="1"/>
        <c:majorTickMark val="out"/>
        <c:minorTickMark val="none"/>
        <c:tickLblPos val="nextTo"/>
        <c:crossAx val="156236032"/>
        <c:crosses val="max"/>
        <c:crossBetween val="between"/>
      </c:valAx>
      <c:catAx>
        <c:axId val="156236032"/>
        <c:scaling>
          <c:orientation val="minMax"/>
        </c:scaling>
        <c:delete val="1"/>
        <c:axPos val="b"/>
        <c:majorTickMark val="out"/>
        <c:minorTickMark val="none"/>
        <c:tickLblPos val="nextTo"/>
        <c:crossAx val="156234496"/>
        <c:crosses val="autoZero"/>
        <c:auto val="1"/>
        <c:lblAlgn val="ctr"/>
        <c:lblOffset val="100"/>
        <c:noMultiLvlLbl val="0"/>
      </c:cat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'office wise quarterly leave re.'!$D$77</c:f>
              <c:strCache>
                <c:ptCount val="1"/>
                <c:pt idx="0">
                  <c:v>No. of days</c:v>
                </c:pt>
              </c:strCache>
            </c:strRef>
          </c:tx>
          <c:invertIfNegative val="0"/>
          <c:cat>
            <c:multiLvlStrRef>
              <c:f>'office wise quarterly leave re.'!$B$78:$C$80</c:f>
              <c:multiLvlStrCache>
                <c:ptCount val="3"/>
                <c:lvl>
                  <c:pt idx="0">
                    <c:v>Parental Leave</c:v>
                  </c:pt>
                  <c:pt idx="1">
                    <c:v>Parental Leave</c:v>
                  </c:pt>
                  <c:pt idx="2">
                    <c:v>Parental Leave</c:v>
                  </c:pt>
                </c:lvl>
                <c:lvl>
                  <c:pt idx="0">
                    <c:v>April</c:v>
                  </c:pt>
                  <c:pt idx="1">
                    <c:v>May</c:v>
                  </c:pt>
                  <c:pt idx="2">
                    <c:v>June</c:v>
                  </c:pt>
                </c:lvl>
              </c:multiLvlStrCache>
            </c:multiLvlStrRef>
          </c:cat>
          <c:val>
            <c:numRef>
              <c:f>'office wise quarterly leave re.'!$D$78:$D$80</c:f>
              <c:numCache>
                <c:formatCode>General</c:formatCode>
                <c:ptCount val="3"/>
                <c:pt idx="0">
                  <c:v>130</c:v>
                </c:pt>
                <c:pt idx="1">
                  <c:v>30</c:v>
                </c:pt>
                <c:pt idx="2">
                  <c:v>40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56307456"/>
        <c:axId val="156308992"/>
      </c:barChart>
      <c:lineChart>
        <c:grouping val="standard"/>
        <c:varyColors val="0"/>
        <c:ser>
          <c:idx val="1"/>
          <c:order val="1"/>
          <c:tx>
            <c:strRef>
              <c:f>'office wise quarterly leave re.'!$E$77</c:f>
              <c:strCache>
                <c:ptCount val="1"/>
                <c:pt idx="0">
                  <c:v>Ratio</c:v>
                </c:pt>
              </c:strCache>
            </c:strRef>
          </c:tx>
          <c:marker>
            <c:symbol val="none"/>
          </c:marker>
          <c:cat>
            <c:multiLvlStrRef>
              <c:f>'office wise quarterly leave re.'!$B$78:$C$80</c:f>
              <c:multiLvlStrCache>
                <c:ptCount val="3"/>
                <c:lvl>
                  <c:pt idx="0">
                    <c:v>Parental Leave</c:v>
                  </c:pt>
                  <c:pt idx="1">
                    <c:v>Parental Leave</c:v>
                  </c:pt>
                  <c:pt idx="2">
                    <c:v>Parental Leave</c:v>
                  </c:pt>
                </c:lvl>
                <c:lvl>
                  <c:pt idx="0">
                    <c:v>April</c:v>
                  </c:pt>
                  <c:pt idx="1">
                    <c:v>May</c:v>
                  </c:pt>
                  <c:pt idx="2">
                    <c:v>June</c:v>
                  </c:pt>
                </c:lvl>
              </c:multiLvlStrCache>
            </c:multiLvlStrRef>
          </c:cat>
          <c:val>
            <c:numRef>
              <c:f>'office wise quarterly leave re.'!$E$78:$E$80</c:f>
              <c:numCache>
                <c:formatCode>0%</c:formatCode>
                <c:ptCount val="3"/>
                <c:pt idx="0">
                  <c:v>0.65</c:v>
                </c:pt>
                <c:pt idx="1">
                  <c:v>0.15</c:v>
                </c:pt>
                <c:pt idx="2">
                  <c:v>0.2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56873472"/>
        <c:axId val="156310528"/>
      </c:lineChart>
      <c:catAx>
        <c:axId val="156307456"/>
        <c:scaling>
          <c:orientation val="minMax"/>
        </c:scaling>
        <c:delete val="0"/>
        <c:axPos val="b"/>
        <c:majorTickMark val="out"/>
        <c:minorTickMark val="none"/>
        <c:tickLblPos val="nextTo"/>
        <c:crossAx val="156308992"/>
        <c:crosses val="autoZero"/>
        <c:auto val="1"/>
        <c:lblAlgn val="ctr"/>
        <c:lblOffset val="100"/>
        <c:noMultiLvlLbl val="0"/>
      </c:catAx>
      <c:valAx>
        <c:axId val="156308992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56307456"/>
        <c:crosses val="autoZero"/>
        <c:crossBetween val="between"/>
      </c:valAx>
      <c:valAx>
        <c:axId val="156310528"/>
        <c:scaling>
          <c:orientation val="minMax"/>
        </c:scaling>
        <c:delete val="0"/>
        <c:axPos val="r"/>
        <c:numFmt formatCode="0%" sourceLinked="1"/>
        <c:majorTickMark val="out"/>
        <c:minorTickMark val="none"/>
        <c:tickLblPos val="nextTo"/>
        <c:crossAx val="156873472"/>
        <c:crosses val="max"/>
        <c:crossBetween val="between"/>
      </c:valAx>
      <c:catAx>
        <c:axId val="156873472"/>
        <c:scaling>
          <c:orientation val="minMax"/>
        </c:scaling>
        <c:delete val="1"/>
        <c:axPos val="b"/>
        <c:majorTickMark val="out"/>
        <c:minorTickMark val="none"/>
        <c:tickLblPos val="nextTo"/>
        <c:crossAx val="156310528"/>
        <c:crosses val="autoZero"/>
        <c:auto val="1"/>
        <c:lblAlgn val="ctr"/>
        <c:lblOffset val="100"/>
        <c:noMultiLvlLbl val="0"/>
      </c:cat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'office wise quarterly leave re.'!$D$98</c:f>
              <c:strCache>
                <c:ptCount val="1"/>
                <c:pt idx="0">
                  <c:v>No. of days</c:v>
                </c:pt>
              </c:strCache>
            </c:strRef>
          </c:tx>
          <c:invertIfNegative val="0"/>
          <c:cat>
            <c:multiLvlStrRef>
              <c:f>'office wise quarterly leave re.'!$B$99:$C$101</c:f>
              <c:multiLvlStrCache>
                <c:ptCount val="3"/>
                <c:lvl>
                  <c:pt idx="0">
                    <c:v>Compensatory Leave</c:v>
                  </c:pt>
                  <c:pt idx="1">
                    <c:v>Compensatory Leave</c:v>
                  </c:pt>
                  <c:pt idx="2">
                    <c:v>Compensatory Leave</c:v>
                  </c:pt>
                </c:lvl>
                <c:lvl>
                  <c:pt idx="0">
                    <c:v>April</c:v>
                  </c:pt>
                  <c:pt idx="1">
                    <c:v>May</c:v>
                  </c:pt>
                  <c:pt idx="2">
                    <c:v>June</c:v>
                  </c:pt>
                </c:lvl>
              </c:multiLvlStrCache>
            </c:multiLvlStrRef>
          </c:cat>
          <c:val>
            <c:numRef>
              <c:f>'office wise quarterly leave re.'!$D$99:$D$101</c:f>
              <c:numCache>
                <c:formatCode>General</c:formatCode>
                <c:ptCount val="3"/>
                <c:pt idx="0">
                  <c:v>18</c:v>
                </c:pt>
                <c:pt idx="1">
                  <c:v>5</c:v>
                </c:pt>
                <c:pt idx="2">
                  <c:v>15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77674496"/>
        <c:axId val="177676288"/>
      </c:barChart>
      <c:lineChart>
        <c:grouping val="standard"/>
        <c:varyColors val="0"/>
        <c:ser>
          <c:idx val="1"/>
          <c:order val="1"/>
          <c:tx>
            <c:strRef>
              <c:f>'office wise quarterly leave re.'!$E$98</c:f>
              <c:strCache>
                <c:ptCount val="1"/>
                <c:pt idx="0">
                  <c:v>Ratio</c:v>
                </c:pt>
              </c:strCache>
            </c:strRef>
          </c:tx>
          <c:marker>
            <c:symbol val="none"/>
          </c:marker>
          <c:cat>
            <c:multiLvlStrRef>
              <c:f>'office wise quarterly leave re.'!$B$99:$C$101</c:f>
              <c:multiLvlStrCache>
                <c:ptCount val="3"/>
                <c:lvl>
                  <c:pt idx="0">
                    <c:v>Compensatory Leave</c:v>
                  </c:pt>
                  <c:pt idx="1">
                    <c:v>Compensatory Leave</c:v>
                  </c:pt>
                  <c:pt idx="2">
                    <c:v>Compensatory Leave</c:v>
                  </c:pt>
                </c:lvl>
                <c:lvl>
                  <c:pt idx="0">
                    <c:v>April</c:v>
                  </c:pt>
                  <c:pt idx="1">
                    <c:v>May</c:v>
                  </c:pt>
                  <c:pt idx="2">
                    <c:v>June</c:v>
                  </c:pt>
                </c:lvl>
              </c:multiLvlStrCache>
            </c:multiLvlStrRef>
          </c:cat>
          <c:val>
            <c:numRef>
              <c:f>'office wise quarterly leave re.'!$E$99:$E$101</c:f>
              <c:numCache>
                <c:formatCode>0%</c:formatCode>
                <c:ptCount val="3"/>
                <c:pt idx="0">
                  <c:v>0.47368421052631576</c:v>
                </c:pt>
                <c:pt idx="1">
                  <c:v>0.13157894736842105</c:v>
                </c:pt>
                <c:pt idx="2">
                  <c:v>0.39473684210526316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77679360"/>
        <c:axId val="177677824"/>
      </c:lineChart>
      <c:catAx>
        <c:axId val="177674496"/>
        <c:scaling>
          <c:orientation val="minMax"/>
        </c:scaling>
        <c:delete val="0"/>
        <c:axPos val="b"/>
        <c:majorTickMark val="out"/>
        <c:minorTickMark val="none"/>
        <c:tickLblPos val="nextTo"/>
        <c:crossAx val="177676288"/>
        <c:crosses val="autoZero"/>
        <c:auto val="1"/>
        <c:lblAlgn val="ctr"/>
        <c:lblOffset val="100"/>
        <c:noMultiLvlLbl val="0"/>
      </c:catAx>
      <c:valAx>
        <c:axId val="177676288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77674496"/>
        <c:crosses val="autoZero"/>
        <c:crossBetween val="between"/>
      </c:valAx>
      <c:valAx>
        <c:axId val="177677824"/>
        <c:scaling>
          <c:orientation val="minMax"/>
        </c:scaling>
        <c:delete val="0"/>
        <c:axPos val="r"/>
        <c:numFmt formatCode="0%" sourceLinked="1"/>
        <c:majorTickMark val="out"/>
        <c:minorTickMark val="none"/>
        <c:tickLblPos val="nextTo"/>
        <c:crossAx val="177679360"/>
        <c:crosses val="max"/>
        <c:crossBetween val="between"/>
      </c:valAx>
      <c:catAx>
        <c:axId val="177679360"/>
        <c:scaling>
          <c:orientation val="minMax"/>
        </c:scaling>
        <c:delete val="1"/>
        <c:axPos val="b"/>
        <c:majorTickMark val="out"/>
        <c:minorTickMark val="none"/>
        <c:tickLblPos val="nextTo"/>
        <c:crossAx val="177677824"/>
        <c:crosses val="autoZero"/>
        <c:auto val="1"/>
        <c:lblAlgn val="ctr"/>
        <c:lblOffset val="100"/>
        <c:noMultiLvlLbl val="0"/>
      </c:cat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Course Overview</a:t>
            </a:r>
          </a:p>
        </c:rich>
      </c:tx>
      <c:layout/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'Course Overview'!$C$3</c:f>
              <c:strCache>
                <c:ptCount val="1"/>
                <c:pt idx="0">
                  <c:v>Courses taken</c:v>
                </c:pt>
              </c:strCache>
            </c:strRef>
          </c:tx>
          <c:invertIfNegative val="0"/>
          <c:cat>
            <c:strRef>
              <c:f>'Course Overview'!$B$4:$B$6</c:f>
              <c:strCache>
                <c:ptCount val="3"/>
                <c:pt idx="0">
                  <c:v>ABC</c:v>
                </c:pt>
                <c:pt idx="1">
                  <c:v>DEF</c:v>
                </c:pt>
                <c:pt idx="2">
                  <c:v>GHI</c:v>
                </c:pt>
              </c:strCache>
            </c:strRef>
          </c:cat>
          <c:val>
            <c:numRef>
              <c:f>'Course Overview'!$C$4:$C$6</c:f>
              <c:numCache>
                <c:formatCode>General</c:formatCode>
                <c:ptCount val="3"/>
                <c:pt idx="0">
                  <c:v>70</c:v>
                </c:pt>
                <c:pt idx="1">
                  <c:v>50</c:v>
                </c:pt>
                <c:pt idx="2">
                  <c:v>80</c:v>
                </c:pt>
              </c:numCache>
            </c:numRef>
          </c:val>
        </c:ser>
        <c:ser>
          <c:idx val="1"/>
          <c:order val="1"/>
          <c:tx>
            <c:strRef>
              <c:f>'Course Overview'!$D$3</c:f>
              <c:strCache>
                <c:ptCount val="1"/>
                <c:pt idx="0">
                  <c:v>Completed courses</c:v>
                </c:pt>
              </c:strCache>
            </c:strRef>
          </c:tx>
          <c:invertIfNegative val="0"/>
          <c:cat>
            <c:strRef>
              <c:f>'Course Overview'!$B$4:$B$6</c:f>
              <c:strCache>
                <c:ptCount val="3"/>
                <c:pt idx="0">
                  <c:v>ABC</c:v>
                </c:pt>
                <c:pt idx="1">
                  <c:v>DEF</c:v>
                </c:pt>
                <c:pt idx="2">
                  <c:v>GHI</c:v>
                </c:pt>
              </c:strCache>
            </c:strRef>
          </c:cat>
          <c:val>
            <c:numRef>
              <c:f>'Course Overview'!$D$4:$D$6</c:f>
              <c:numCache>
                <c:formatCode>General</c:formatCode>
                <c:ptCount val="3"/>
                <c:pt idx="0">
                  <c:v>46</c:v>
                </c:pt>
                <c:pt idx="1">
                  <c:v>40</c:v>
                </c:pt>
                <c:pt idx="2">
                  <c:v>65</c:v>
                </c:pt>
              </c:numCache>
            </c:numRef>
          </c:val>
        </c:ser>
        <c:ser>
          <c:idx val="2"/>
          <c:order val="2"/>
          <c:tx>
            <c:strRef>
              <c:f>'Course Overview'!$E$3</c:f>
              <c:strCache>
                <c:ptCount val="1"/>
                <c:pt idx="0">
                  <c:v>Pending courses</c:v>
                </c:pt>
              </c:strCache>
            </c:strRef>
          </c:tx>
          <c:invertIfNegative val="0"/>
          <c:cat>
            <c:strRef>
              <c:f>'Course Overview'!$B$4:$B$6</c:f>
              <c:strCache>
                <c:ptCount val="3"/>
                <c:pt idx="0">
                  <c:v>ABC</c:v>
                </c:pt>
                <c:pt idx="1">
                  <c:v>DEF</c:v>
                </c:pt>
                <c:pt idx="2">
                  <c:v>GHI</c:v>
                </c:pt>
              </c:strCache>
            </c:strRef>
          </c:cat>
          <c:val>
            <c:numRef>
              <c:f>'Course Overview'!$E$4:$E$6</c:f>
              <c:numCache>
                <c:formatCode>General</c:formatCode>
                <c:ptCount val="3"/>
                <c:pt idx="0">
                  <c:v>24</c:v>
                </c:pt>
                <c:pt idx="1">
                  <c:v>10</c:v>
                </c:pt>
                <c:pt idx="2">
                  <c:v>15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312543104"/>
        <c:axId val="230363136"/>
      </c:barChart>
      <c:lineChart>
        <c:grouping val="standard"/>
        <c:varyColors val="0"/>
        <c:ser>
          <c:idx val="3"/>
          <c:order val="3"/>
          <c:tx>
            <c:strRef>
              <c:f>'Course Overview'!$F$3</c:f>
              <c:strCache>
                <c:ptCount val="1"/>
                <c:pt idx="0">
                  <c:v>Ratio of completed courses to total courses taken</c:v>
                </c:pt>
              </c:strCache>
            </c:strRef>
          </c:tx>
          <c:marker>
            <c:symbol val="none"/>
          </c:marker>
          <c:cat>
            <c:strRef>
              <c:f>'Course Overview'!$B$4:$B$6</c:f>
              <c:strCache>
                <c:ptCount val="3"/>
                <c:pt idx="0">
                  <c:v>ABC</c:v>
                </c:pt>
                <c:pt idx="1">
                  <c:v>DEF</c:v>
                </c:pt>
                <c:pt idx="2">
                  <c:v>GHI</c:v>
                </c:pt>
              </c:strCache>
            </c:strRef>
          </c:cat>
          <c:val>
            <c:numRef>
              <c:f>'Course Overview'!$F$4:$F$6</c:f>
              <c:numCache>
                <c:formatCode>0%</c:formatCode>
                <c:ptCount val="3"/>
                <c:pt idx="0">
                  <c:v>0.65714285714285714</c:v>
                </c:pt>
                <c:pt idx="1">
                  <c:v>0.8</c:v>
                </c:pt>
                <c:pt idx="2">
                  <c:v>0.8125</c:v>
                </c:pt>
              </c:numCache>
            </c:numRef>
          </c:val>
          <c:smooth val="0"/>
        </c:ser>
        <c:ser>
          <c:idx val="4"/>
          <c:order val="4"/>
          <c:tx>
            <c:strRef>
              <c:f>'Course Overview'!$G$3</c:f>
              <c:strCache>
                <c:ptCount val="1"/>
                <c:pt idx="0">
                  <c:v>Ratio of pending courses to total courses</c:v>
                </c:pt>
              </c:strCache>
            </c:strRef>
          </c:tx>
          <c:marker>
            <c:symbol val="none"/>
          </c:marker>
          <c:cat>
            <c:strRef>
              <c:f>'Course Overview'!$B$4:$B$6</c:f>
              <c:strCache>
                <c:ptCount val="3"/>
                <c:pt idx="0">
                  <c:v>ABC</c:v>
                </c:pt>
                <c:pt idx="1">
                  <c:v>DEF</c:v>
                </c:pt>
                <c:pt idx="2">
                  <c:v>GHI</c:v>
                </c:pt>
              </c:strCache>
            </c:strRef>
          </c:cat>
          <c:val>
            <c:numRef>
              <c:f>'Course Overview'!$G$4:$G$6</c:f>
              <c:numCache>
                <c:formatCode>0%</c:formatCode>
                <c:ptCount val="3"/>
                <c:pt idx="0">
                  <c:v>0.34285714285714286</c:v>
                </c:pt>
                <c:pt idx="1">
                  <c:v>0.2</c:v>
                </c:pt>
                <c:pt idx="2">
                  <c:v>0.1875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56755968"/>
        <c:axId val="256733952"/>
      </c:lineChart>
      <c:catAx>
        <c:axId val="312543104"/>
        <c:scaling>
          <c:orientation val="minMax"/>
        </c:scaling>
        <c:delete val="0"/>
        <c:axPos val="b"/>
        <c:majorTickMark val="out"/>
        <c:minorTickMark val="none"/>
        <c:tickLblPos val="nextTo"/>
        <c:crossAx val="230363136"/>
        <c:crosses val="autoZero"/>
        <c:auto val="1"/>
        <c:lblAlgn val="ctr"/>
        <c:lblOffset val="100"/>
        <c:noMultiLvlLbl val="0"/>
      </c:catAx>
      <c:valAx>
        <c:axId val="230363136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No. of courses</a:t>
                </a:r>
              </a:p>
            </c:rich>
          </c:tx>
          <c:layout/>
          <c:overlay val="0"/>
        </c:title>
        <c:numFmt formatCode="General" sourceLinked="1"/>
        <c:majorTickMark val="out"/>
        <c:minorTickMark val="none"/>
        <c:tickLblPos val="nextTo"/>
        <c:crossAx val="312543104"/>
        <c:crosses val="autoZero"/>
        <c:crossBetween val="between"/>
      </c:valAx>
      <c:valAx>
        <c:axId val="256733952"/>
        <c:scaling>
          <c:orientation val="minMax"/>
        </c:scaling>
        <c:delete val="0"/>
        <c:axPos val="r"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Ratio of completed and remaining to total course taken</a:t>
                </a:r>
              </a:p>
            </c:rich>
          </c:tx>
          <c:layout/>
          <c:overlay val="0"/>
        </c:title>
        <c:numFmt formatCode="0%" sourceLinked="1"/>
        <c:majorTickMark val="out"/>
        <c:minorTickMark val="none"/>
        <c:tickLblPos val="nextTo"/>
        <c:crossAx val="256755968"/>
        <c:crosses val="max"/>
        <c:crossBetween val="between"/>
      </c:valAx>
      <c:catAx>
        <c:axId val="256755968"/>
        <c:scaling>
          <c:orientation val="minMax"/>
        </c:scaling>
        <c:delete val="1"/>
        <c:axPos val="b"/>
        <c:majorTickMark val="out"/>
        <c:minorTickMark val="none"/>
        <c:tickLblPos val="nextTo"/>
        <c:crossAx val="256733952"/>
        <c:auto val="1"/>
        <c:lblAlgn val="ctr"/>
        <c:lblOffset val="100"/>
        <c:noMultiLvlLbl val="0"/>
      </c:cat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chart" Target="../charts/chart6.xml"/><Relationship Id="rId1" Type="http://schemas.openxmlformats.org/officeDocument/2006/relationships/chart" Target="../charts/chart5.xml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8.xml"/><Relationship Id="rId1" Type="http://schemas.openxmlformats.org/officeDocument/2006/relationships/chart" Target="../charts/chart7.xml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1.xml"/><Relationship Id="rId2" Type="http://schemas.openxmlformats.org/officeDocument/2006/relationships/chart" Target="../charts/chart10.xml"/><Relationship Id="rId1" Type="http://schemas.openxmlformats.org/officeDocument/2006/relationships/chart" Target="../charts/chart9.xml"/><Relationship Id="rId6" Type="http://schemas.openxmlformats.org/officeDocument/2006/relationships/chart" Target="../charts/chart14.xml"/><Relationship Id="rId5" Type="http://schemas.openxmlformats.org/officeDocument/2006/relationships/chart" Target="../charts/chart13.xml"/><Relationship Id="rId4" Type="http://schemas.openxmlformats.org/officeDocument/2006/relationships/chart" Target="../charts/chart12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47625</xdr:colOff>
      <xdr:row>8</xdr:row>
      <xdr:rowOff>0</xdr:rowOff>
    </xdr:from>
    <xdr:to>
      <xdr:col>5</xdr:col>
      <xdr:colOff>723900</xdr:colOff>
      <xdr:row>22</xdr:row>
      <xdr:rowOff>76200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8</xdr:row>
      <xdr:rowOff>9525</xdr:rowOff>
    </xdr:from>
    <xdr:to>
      <xdr:col>5</xdr:col>
      <xdr:colOff>638175</xdr:colOff>
      <xdr:row>22</xdr:row>
      <xdr:rowOff>85725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28575</xdr:colOff>
      <xdr:row>8</xdr:row>
      <xdr:rowOff>0</xdr:rowOff>
    </xdr:from>
    <xdr:to>
      <xdr:col>7</xdr:col>
      <xdr:colOff>9525</xdr:colOff>
      <xdr:row>22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9524</xdr:colOff>
      <xdr:row>29</xdr:row>
      <xdr:rowOff>0</xdr:rowOff>
    </xdr:from>
    <xdr:to>
      <xdr:col>6</xdr:col>
      <xdr:colOff>2190749</xdr:colOff>
      <xdr:row>43</xdr:row>
      <xdr:rowOff>76200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19050</xdr:colOff>
      <xdr:row>7</xdr:row>
      <xdr:rowOff>9525</xdr:rowOff>
    </xdr:from>
    <xdr:to>
      <xdr:col>6</xdr:col>
      <xdr:colOff>2171700</xdr:colOff>
      <xdr:row>21</xdr:row>
      <xdr:rowOff>85725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600075</xdr:colOff>
      <xdr:row>28</xdr:row>
      <xdr:rowOff>0</xdr:rowOff>
    </xdr:from>
    <xdr:to>
      <xdr:col>6</xdr:col>
      <xdr:colOff>2143125</xdr:colOff>
      <xdr:row>44</xdr:row>
      <xdr:rowOff>95250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533399</xdr:colOff>
      <xdr:row>0</xdr:row>
      <xdr:rowOff>180975</xdr:rowOff>
    </xdr:from>
    <xdr:to>
      <xdr:col>18</xdr:col>
      <xdr:colOff>161924</xdr:colOff>
      <xdr:row>18</xdr:row>
      <xdr:rowOff>38100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514349</xdr:colOff>
      <xdr:row>19</xdr:row>
      <xdr:rowOff>38100</xdr:rowOff>
    </xdr:from>
    <xdr:to>
      <xdr:col>18</xdr:col>
      <xdr:colOff>161924</xdr:colOff>
      <xdr:row>36</xdr:row>
      <xdr:rowOff>57150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257174</xdr:colOff>
      <xdr:row>1</xdr:row>
      <xdr:rowOff>180975</xdr:rowOff>
    </xdr:from>
    <xdr:to>
      <xdr:col>16</xdr:col>
      <xdr:colOff>276225</xdr:colOff>
      <xdr:row>16</xdr:row>
      <xdr:rowOff>152400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9525</xdr:colOff>
      <xdr:row>23</xdr:row>
      <xdr:rowOff>38101</xdr:rowOff>
    </xdr:from>
    <xdr:to>
      <xdr:col>10</xdr:col>
      <xdr:colOff>504825</xdr:colOff>
      <xdr:row>35</xdr:row>
      <xdr:rowOff>114301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47625</xdr:colOff>
      <xdr:row>41</xdr:row>
      <xdr:rowOff>133350</xdr:rowOff>
    </xdr:from>
    <xdr:to>
      <xdr:col>7</xdr:col>
      <xdr:colOff>295275</xdr:colOff>
      <xdr:row>54</xdr:row>
      <xdr:rowOff>57150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600076</xdr:colOff>
      <xdr:row>60</xdr:row>
      <xdr:rowOff>180975</xdr:rowOff>
    </xdr:from>
    <xdr:to>
      <xdr:col>7</xdr:col>
      <xdr:colOff>361950</xdr:colOff>
      <xdr:row>74</xdr:row>
      <xdr:rowOff>47624</xdr:rowOff>
    </xdr:to>
    <xdr:graphicFrame macro="">
      <xdr:nvGraphicFramePr>
        <xdr:cNvPr id="5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</xdr:col>
      <xdr:colOff>9525</xdr:colOff>
      <xdr:row>81</xdr:row>
      <xdr:rowOff>28575</xdr:rowOff>
    </xdr:from>
    <xdr:to>
      <xdr:col>7</xdr:col>
      <xdr:colOff>466725</xdr:colOff>
      <xdr:row>95</xdr:row>
      <xdr:rowOff>85725</xdr:rowOff>
    </xdr:to>
    <xdr:graphicFrame macro="">
      <xdr:nvGraphicFramePr>
        <xdr:cNvPr id="6" name="Chart 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</xdr:col>
      <xdr:colOff>19050</xdr:colOff>
      <xdr:row>102</xdr:row>
      <xdr:rowOff>9525</xdr:rowOff>
    </xdr:from>
    <xdr:to>
      <xdr:col>7</xdr:col>
      <xdr:colOff>419100</xdr:colOff>
      <xdr:row>116</xdr:row>
      <xdr:rowOff>85725</xdr:rowOff>
    </xdr:to>
    <xdr:graphicFrame macro="">
      <xdr:nvGraphicFramePr>
        <xdr:cNvPr id="7" name="Chart 6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9525</xdr:colOff>
      <xdr:row>7</xdr:row>
      <xdr:rowOff>38100</xdr:rowOff>
    </xdr:from>
    <xdr:to>
      <xdr:col>6</xdr:col>
      <xdr:colOff>352425</xdr:colOff>
      <xdr:row>21</xdr:row>
      <xdr:rowOff>114300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id="1" name="Table1" displayName="Table1" ref="B4:F7" totalsRowShown="0">
  <autoFilter ref="B4:F7"/>
  <tableColumns count="5">
    <tableColumn id="1" name="Office name"/>
    <tableColumn id="2" name="Enquiry received"/>
    <tableColumn id="3" name="Enquiry converted"/>
    <tableColumn id="4" name="Difference"/>
    <tableColumn id="5" name="Win Rate">
      <calculatedColumnFormula>D5/C5</calculatedColumnFormula>
    </tableColumn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Table2" displayName="Table2" ref="B4:F7" totalsRowShown="0" headerRowDxfId="39" headerRowBorderDxfId="38" tableBorderDxfId="37">
  <autoFilter ref="B4:F7"/>
  <tableColumns count="5">
    <tableColumn id="1" name="Month"/>
    <tableColumn id="2" name="Enquiry received"/>
    <tableColumn id="3" name="Enquiry converted"/>
    <tableColumn id="4" name="Difference">
      <calculatedColumnFormula>C5-D5</calculatedColumnFormula>
    </tableColumn>
    <tableColumn id="5" name="Win Rate">
      <calculatedColumnFormula>D5/C5</calculatedColumnFormula>
    </tableColumn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Table3" displayName="Table3" ref="B4:G7" totalsRowShown="0">
  <autoFilter ref="B4:G7"/>
  <tableColumns count="6">
    <tableColumn id="1" name="Office name"/>
    <tableColumn id="2" name="Due-date tasks allotted"/>
    <tableColumn id="3" name="Due-date tasks completed"/>
    <tableColumn id="4" name="Remaining"/>
    <tableColumn id="5" name="%ge of completed to total allotted" dataCellStyle="Percent">
      <calculatedColumnFormula>D5/C5</calculatedColumnFormula>
    </tableColumn>
    <tableColumn id="6" name="%ge of remaining to total allotted" dataCellStyle="Percent">
      <calculatedColumnFormula>E5/C5</calculatedColumnFormula>
    </tableColumn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Table4" displayName="Table4" ref="B25:G28" totalsRowShown="0" headerRowDxfId="36" headerRowBorderDxfId="35" tableBorderDxfId="34">
  <autoFilter ref="B25:G28"/>
  <tableColumns count="6">
    <tableColumn id="1" name="Office name"/>
    <tableColumn id="2" name="Project Assignment tasks alotted"/>
    <tableColumn id="3" name="Projecet assignment tasks completed"/>
    <tableColumn id="4" name="Remaining"/>
    <tableColumn id="5" name="%ge of completed to total allotted" dataCellStyle="Percent"/>
    <tableColumn id="6" name="%ge of remaining to total allotted" dataCellStyle="Percent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5" name="Table5" displayName="Table5" ref="B3:G6" totalsRowShown="0" headerRowDxfId="33" headerRowBorderDxfId="32" tableBorderDxfId="31">
  <autoFilter ref="B3:G6"/>
  <tableColumns count="6">
    <tableColumn id="1" name="Month"/>
    <tableColumn id="2" name="Due-date tasks allotted"/>
    <tableColumn id="3" name="Due-date tasks completed"/>
    <tableColumn id="4" name="Remaining">
      <calculatedColumnFormula>C4-D4</calculatedColumnFormula>
    </tableColumn>
    <tableColumn id="5" name="%ge of completed to total allotted" dataCellStyle="Percent">
      <calculatedColumnFormula>D4/C4</calculatedColumnFormula>
    </tableColumn>
    <tableColumn id="6" name="%ge of remaining to total allotted" dataCellStyle="Percent">
      <calculatedColumnFormula>E4/C4</calculatedColumnFormula>
    </tableColumn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id="6" name="Table57" displayName="Table57" ref="B24:G27" totalsRowShown="0" headerRowDxfId="15" headerRowBorderDxfId="13" tableBorderDxfId="14">
  <autoFilter ref="B24:G27"/>
  <tableColumns count="6">
    <tableColumn id="1" name="Month"/>
    <tableColumn id="2" name="Project assignment tasks allotted"/>
    <tableColumn id="3" name="Project assignment tasks completed"/>
    <tableColumn id="4" name="Remaining" dataDxfId="12">
      <calculatedColumnFormula>Table57[[#This Row],[Project assignment tasks allotted]]-Table57[[#This Row],[Project assignment tasks completed]]</calculatedColumnFormula>
    </tableColumn>
    <tableColumn id="5" name="%ge of completed to total allotted" dataDxfId="11" dataCellStyle="Percent">
      <calculatedColumnFormula>Table57[[#This Row],[Project assignment tasks completed]]/Table57[[#This Row],[Project assignment tasks allotted]]</calculatedColumnFormula>
    </tableColumn>
    <tableColumn id="6" name="%ge of remaining to total allotted" dataDxfId="10" dataCellStyle="Percent">
      <calculatedColumnFormula>Table57[[#This Row],[Remaining]]/Table57[[#This Row],[Project assignment tasks allotted]]</calculatedColumnFormula>
    </tableColumn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id="8" name="Table16" displayName="Table16" ref="C3:E16" totalsRowCount="1">
  <autoFilter ref="C3:E15"/>
  <tableColumns count="3">
    <tableColumn id="1" name="Leave Type" totalsRowLabel="Total Leave"/>
    <tableColumn id="2" name="No. of days" totalsRowFunction="custom">
      <totalsRowFormula>SUM(Table16[No. of days])</totalsRowFormula>
    </tableColumn>
    <tableColumn id="3" name="Ratio" totalsRowDxfId="30" dataCellStyle="Percent">
      <calculatedColumnFormula>Table16[[#This Row],[No. of days]]/Table16[[#Totals],[No. of days]]</calculatedColumnFormula>
    </tableColumn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id="10" name="Table10" displayName="Table10" ref="B3:B15" totalsRowShown="0">
  <autoFilter ref="B3:B15"/>
  <tableColumns count="1">
    <tableColumn id="1" name="Office name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id="11" name="Table1012" displayName="Table1012" ref="B21:B24" totalsRowShown="0">
  <autoFilter ref="B21:B24"/>
  <tableColumns count="1">
    <tableColumn id="1" name="Office name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id="12" name="Table12" displayName="Table12" ref="C21:D25" totalsRowCount="1">
  <autoFilter ref="C21:D24"/>
  <tableColumns count="2">
    <tableColumn id="2" name="No. of days" totalsRowFunction="custom">
      <totalsRowFormula>SUM(Table12[No. of days])</totalsRowFormula>
    </tableColumn>
    <tableColumn id="3" name="Ratio" dataDxfId="29" totalsRowDxfId="28" dataCellStyle="Percent">
      <calculatedColumnFormula>Table12[[#This Row],[No. of days]]/Table12[[#Totals],[No. of days]]</calculatedColumnFormula>
    </tableColumn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id="13" name="Table1014" displayName="Table1014" ref="B3:B15" totalsRowShown="0">
  <autoFilter ref="B3:B15"/>
  <tableColumns count="1">
    <tableColumn id="1" name="Month"/>
  </tableColumns>
  <tableStyleInfo name="TableStyleMedium2" showFirstColumn="0" showLastColumn="0" showRowStripes="1" showColumnStripes="0"/>
</table>
</file>

<file path=xl/tables/table12.xml><?xml version="1.0" encoding="utf-8"?>
<table xmlns="http://schemas.openxmlformats.org/spreadsheetml/2006/main" id="14" name="Table14" displayName="Table14" ref="C3:E16" totalsRowCount="1">
  <autoFilter ref="C3:E15"/>
  <tableColumns count="3">
    <tableColumn id="1" name="Leave Type"/>
    <tableColumn id="2" name="No. of days" totalsRowFunction="custom">
      <totalsRowFormula>SUM(Table14[No. of days])</totalsRowFormula>
    </tableColumn>
    <tableColumn id="3" name="Ratio" dataDxfId="27" totalsRowDxfId="26" dataCellStyle="Percent">
      <calculatedColumnFormula>Table14[[#This Row],[No. of days]]/Table14[[#Totals],[No. of days]]</calculatedColumnFormula>
    </tableColumn>
  </tableColumns>
  <tableStyleInfo name="TableStyleMedium2" showFirstColumn="0" showLastColumn="0" showRowStripes="1" showColumnStripes="0"/>
</table>
</file>

<file path=xl/tables/table13.xml><?xml version="1.0" encoding="utf-8"?>
<table xmlns="http://schemas.openxmlformats.org/spreadsheetml/2006/main" id="15" name="Table101416" displayName="Table101416" ref="B19:B22" totalsRowShown="0">
  <autoFilter ref="B19:B22"/>
  <tableColumns count="1">
    <tableColumn id="1" name="Month"/>
  </tableColumns>
  <tableStyleInfo name="TableStyleMedium2" showFirstColumn="0" showLastColumn="0" showRowStripes="1" showColumnStripes="0"/>
</table>
</file>

<file path=xl/tables/table14.xml><?xml version="1.0" encoding="utf-8"?>
<table xmlns="http://schemas.openxmlformats.org/spreadsheetml/2006/main" id="16" name="Table17" displayName="Table17" ref="C19:D23" totalsRowCount="1">
  <autoFilter ref="C19:D22"/>
  <tableColumns count="2">
    <tableColumn id="1" name="No. of days" totalsRowFunction="custom">
      <totalsRowFormula>SUM(Table17[No. of days])</totalsRowFormula>
    </tableColumn>
    <tableColumn id="2" name="Ratio" dataDxfId="25" totalsRowDxfId="24" dataCellStyle="Percent">
      <calculatedColumnFormula>Table17[[#This Row],[No. of days]]/Table17[[#Totals],[No. of days]]</calculatedColumnFormula>
    </tableColumn>
  </tableColumns>
  <tableStyleInfo name="TableStyleMedium2" showFirstColumn="0" showLastColumn="0" showRowStripes="1" showColumnStripes="0"/>
</table>
</file>

<file path=xl/tables/table15.xml><?xml version="1.0" encoding="utf-8"?>
<table xmlns="http://schemas.openxmlformats.org/spreadsheetml/2006/main" id="17" name="Table101418" displayName="Table101418" ref="B37:B40" totalsRowShown="0">
  <autoFilter ref="B37:B40"/>
  <tableColumns count="1">
    <tableColumn id="1" name="Month"/>
  </tableColumns>
  <tableStyleInfo name="TableStyleMedium2" showFirstColumn="0" showLastColumn="0" showRowStripes="1" showColumnStripes="0"/>
</table>
</file>

<file path=xl/tables/table16.xml><?xml version="1.0" encoding="utf-8"?>
<table xmlns="http://schemas.openxmlformats.org/spreadsheetml/2006/main" id="18" name="Table101419" displayName="Table101419" ref="B57:B60" totalsRowShown="0">
  <autoFilter ref="B57:B60"/>
  <tableColumns count="1">
    <tableColumn id="1" name="Month"/>
  </tableColumns>
  <tableStyleInfo name="TableStyleMedium2" showFirstColumn="0" showLastColumn="0" showRowStripes="1" showColumnStripes="0"/>
</table>
</file>

<file path=xl/tables/table17.xml><?xml version="1.0" encoding="utf-8"?>
<table xmlns="http://schemas.openxmlformats.org/spreadsheetml/2006/main" id="19" name="Table101420" displayName="Table101420" ref="B77:B80" totalsRowShown="0">
  <autoFilter ref="B77:B80"/>
  <tableColumns count="1">
    <tableColumn id="1" name="Month"/>
  </tableColumns>
  <tableStyleInfo name="TableStyleMedium2" showFirstColumn="0" showLastColumn="0" showRowStripes="1" showColumnStripes="0"/>
</table>
</file>

<file path=xl/tables/table18.xml><?xml version="1.0" encoding="utf-8"?>
<table xmlns="http://schemas.openxmlformats.org/spreadsheetml/2006/main" id="20" name="Table101421" displayName="Table101421" ref="B98:B101" totalsRowShown="0">
  <autoFilter ref="B98:B101"/>
  <tableColumns count="1">
    <tableColumn id="1" name="Month"/>
  </tableColumns>
  <tableStyleInfo name="TableStyleMedium2" showFirstColumn="0" showLastColumn="0" showRowStripes="1" showColumnStripes="0"/>
</table>
</file>

<file path=xl/tables/table19.xml><?xml version="1.0" encoding="utf-8"?>
<table xmlns="http://schemas.openxmlformats.org/spreadsheetml/2006/main" id="21" name="Table21" displayName="Table21" ref="C37:E41" totalsRowCount="1">
  <autoFilter ref="C37:E41"/>
  <tableColumns count="3">
    <tableColumn id="1" name="Leave Type"/>
    <tableColumn id="2" name="No. of days" totalsRowFunction="custom">
      <totalsRowFormula>SUM(Table21[No. of days])</totalsRowFormula>
    </tableColumn>
    <tableColumn id="3" name="Ratio" dataDxfId="22" totalsRowDxfId="23" dataCellStyle="Percent">
      <calculatedColumnFormula>Table21[[#This Row],[No. of days]]/Table21[[#Totals],[No. of days]]</calculatedColumnFormula>
    </tableColumn>
  </tableColumns>
  <tableStyleInfo name="TableStyleMedium2" showFirstColumn="0" showLastColumn="0" showRowStripes="1" showColumnStripes="0"/>
</table>
</file>

<file path=xl/tables/table20.xml><?xml version="1.0" encoding="utf-8"?>
<table xmlns="http://schemas.openxmlformats.org/spreadsheetml/2006/main" id="22" name="Table22" displayName="Table22" ref="C57:E61" totalsRowCount="1">
  <autoFilter ref="C57:E61"/>
  <tableColumns count="3">
    <tableColumn id="1" name="Leave Type"/>
    <tableColumn id="2" name="No. of days" totalsRowFunction="custom">
      <totalsRowFormula>SUM(Table22[No. of days])</totalsRowFormula>
    </tableColumn>
    <tableColumn id="3" name="Ratio" dataDxfId="20" totalsRowDxfId="21" dataCellStyle="Percent">
      <calculatedColumnFormula>Table22[[#This Row],[No. of days]]/Table22[[#Totals],[No. of days]]</calculatedColumnFormula>
    </tableColumn>
  </tableColumns>
  <tableStyleInfo name="TableStyleMedium2" showFirstColumn="0" showLastColumn="0" showRowStripes="1" showColumnStripes="0"/>
</table>
</file>

<file path=xl/tables/table21.xml><?xml version="1.0" encoding="utf-8"?>
<table xmlns="http://schemas.openxmlformats.org/spreadsheetml/2006/main" id="23" name="Table23" displayName="Table23" ref="C77:E81" totalsRowCount="1">
  <autoFilter ref="C77:E81"/>
  <tableColumns count="3">
    <tableColumn id="1" name="Leave Type"/>
    <tableColumn id="2" name="No. of days" totalsRowFunction="custom">
      <totalsRowFormula>SUM(Table23[No. of days])</totalsRowFormula>
    </tableColumn>
    <tableColumn id="3" name="Ratio" dataDxfId="18" totalsRowDxfId="19" dataCellStyle="Percent">
      <calculatedColumnFormula>Table23[[#This Row],[No. of days]]/Table23[[#Totals],[No. of days]]</calculatedColumnFormula>
    </tableColumn>
  </tableColumns>
  <tableStyleInfo name="TableStyleMedium2" showFirstColumn="0" showLastColumn="0" showRowStripes="1" showColumnStripes="0"/>
</table>
</file>

<file path=xl/tables/table22.xml><?xml version="1.0" encoding="utf-8"?>
<table xmlns="http://schemas.openxmlformats.org/spreadsheetml/2006/main" id="24" name="Table24" displayName="Table24" ref="C98:E102" totalsRowCount="1">
  <autoFilter ref="C98:E102"/>
  <tableColumns count="3">
    <tableColumn id="1" name="Leave Type"/>
    <tableColumn id="2" name="No. of days" totalsRowFunction="custom">
      <totalsRowFormula>SUM(Table24[No. of days])</totalsRowFormula>
    </tableColumn>
    <tableColumn id="3" name="Ratio" dataDxfId="16" totalsRowDxfId="17" dataCellStyle="Percent">
      <calculatedColumnFormula>Table24[[#This Row],[No. of days]]/Table24[[#Totals],[No. of days]]</calculatedColumnFormula>
    </tableColumn>
  </tableColumns>
  <tableStyleInfo name="TableStyleMedium2" showFirstColumn="0" showLastColumn="0" showRowStripes="1" showColumnStripes="0"/>
</table>
</file>

<file path=xl/tables/table23.xml><?xml version="1.0" encoding="utf-8"?>
<table xmlns="http://schemas.openxmlformats.org/spreadsheetml/2006/main" id="7" name="Table38" displayName="Table38" ref="B3:G6" totalsRowShown="0" headerRowDxfId="9" headerRowBorderDxfId="7" tableBorderDxfId="8" totalsRowBorderDxfId="6">
  <autoFilter ref="B3:G6"/>
  <tableColumns count="6">
    <tableColumn id="1" name="Office name" dataDxfId="5"/>
    <tableColumn id="2" name="Courses taken" dataDxfId="4"/>
    <tableColumn id="3" name="Completed courses" dataDxfId="3"/>
    <tableColumn id="4" name="Pending courses" dataDxfId="2"/>
    <tableColumn id="5" name="Ratio of completed courses to total courses taken" dataDxfId="1" dataCellStyle="Percent">
      <calculatedColumnFormula>Table38[Completed courses]/Table38[Courses taken]</calculatedColumnFormula>
    </tableColumn>
    <tableColumn id="6" name="Ratio of pending courses to total courses" dataDxfId="0" dataCellStyle="Percent">
      <calculatedColumnFormula>Table38[Pending courses]/Table38[Courses taken]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4.xml"/><Relationship Id="rId2" Type="http://schemas.openxmlformats.org/officeDocument/2006/relationships/table" Target="../tables/table3.xml"/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6.xml"/><Relationship Id="rId2" Type="http://schemas.openxmlformats.org/officeDocument/2006/relationships/table" Target="../tables/table5.xml"/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table" Target="../tables/table8.xml"/><Relationship Id="rId2" Type="http://schemas.openxmlformats.org/officeDocument/2006/relationships/table" Target="../tables/table7.xml"/><Relationship Id="rId1" Type="http://schemas.openxmlformats.org/officeDocument/2006/relationships/drawing" Target="../drawings/drawing5.xml"/><Relationship Id="rId5" Type="http://schemas.openxmlformats.org/officeDocument/2006/relationships/table" Target="../tables/table10.xml"/><Relationship Id="rId4" Type="http://schemas.openxmlformats.org/officeDocument/2006/relationships/table" Target="../tables/table9.xml"/></Relationships>
</file>

<file path=xl/worksheets/_rels/sheet6.xml.rels><?xml version="1.0" encoding="UTF-8" standalone="yes"?>
<Relationships xmlns="http://schemas.openxmlformats.org/package/2006/relationships"><Relationship Id="rId8" Type="http://schemas.openxmlformats.org/officeDocument/2006/relationships/table" Target="../tables/table17.xml"/><Relationship Id="rId13" Type="http://schemas.openxmlformats.org/officeDocument/2006/relationships/table" Target="../tables/table22.xml"/><Relationship Id="rId3" Type="http://schemas.openxmlformats.org/officeDocument/2006/relationships/table" Target="../tables/table12.xml"/><Relationship Id="rId7" Type="http://schemas.openxmlformats.org/officeDocument/2006/relationships/table" Target="../tables/table16.xml"/><Relationship Id="rId12" Type="http://schemas.openxmlformats.org/officeDocument/2006/relationships/table" Target="../tables/table21.xml"/><Relationship Id="rId2" Type="http://schemas.openxmlformats.org/officeDocument/2006/relationships/table" Target="../tables/table11.xml"/><Relationship Id="rId1" Type="http://schemas.openxmlformats.org/officeDocument/2006/relationships/drawing" Target="../drawings/drawing6.xml"/><Relationship Id="rId6" Type="http://schemas.openxmlformats.org/officeDocument/2006/relationships/table" Target="../tables/table15.xml"/><Relationship Id="rId11" Type="http://schemas.openxmlformats.org/officeDocument/2006/relationships/table" Target="../tables/table20.xml"/><Relationship Id="rId5" Type="http://schemas.openxmlformats.org/officeDocument/2006/relationships/table" Target="../tables/table14.xml"/><Relationship Id="rId10" Type="http://schemas.openxmlformats.org/officeDocument/2006/relationships/table" Target="../tables/table19.xml"/><Relationship Id="rId4" Type="http://schemas.openxmlformats.org/officeDocument/2006/relationships/table" Target="../tables/table13.xml"/><Relationship Id="rId9" Type="http://schemas.openxmlformats.org/officeDocument/2006/relationships/table" Target="../tables/table18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3.xml"/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F7"/>
  <sheetViews>
    <sheetView workbookViewId="0">
      <selection activeCell="B3" sqref="B3"/>
    </sheetView>
  </sheetViews>
  <sheetFormatPr defaultRowHeight="15" x14ac:dyDescent="0.25"/>
  <cols>
    <col min="2" max="2" width="29.42578125" bestFit="1" customWidth="1"/>
    <col min="3" max="3" width="18" customWidth="1"/>
    <col min="4" max="4" width="19.28515625" customWidth="1"/>
    <col min="5" max="5" width="12.5703125" customWidth="1"/>
    <col min="6" max="6" width="11.28515625" customWidth="1"/>
  </cols>
  <sheetData>
    <row r="2" spans="2:6" x14ac:dyDescent="0.25">
      <c r="B2" s="11" t="s">
        <v>21</v>
      </c>
      <c r="C2" s="11"/>
      <c r="D2" s="11"/>
      <c r="E2" s="11"/>
      <c r="F2" s="11"/>
    </row>
    <row r="4" spans="2:6" x14ac:dyDescent="0.25">
      <c r="B4" t="s">
        <v>0</v>
      </c>
      <c r="C4" t="s">
        <v>1</v>
      </c>
      <c r="D4" t="s">
        <v>2</v>
      </c>
      <c r="E4" t="s">
        <v>3</v>
      </c>
      <c r="F4" t="s">
        <v>4</v>
      </c>
    </row>
    <row r="5" spans="2:6" x14ac:dyDescent="0.25">
      <c r="B5" s="1" t="s">
        <v>5</v>
      </c>
      <c r="C5" s="2">
        <v>977</v>
      </c>
      <c r="D5" s="2">
        <v>790</v>
      </c>
      <c r="E5" s="2">
        <v>187</v>
      </c>
      <c r="F5" s="3">
        <v>0.80859774820880248</v>
      </c>
    </row>
    <row r="6" spans="2:6" x14ac:dyDescent="0.25">
      <c r="B6" t="s">
        <v>6</v>
      </c>
      <c r="C6">
        <v>1000</v>
      </c>
      <c r="D6">
        <v>850</v>
      </c>
      <c r="E6">
        <f>C6-D6</f>
        <v>150</v>
      </c>
      <c r="F6" s="4">
        <f>D6/C6</f>
        <v>0.85</v>
      </c>
    </row>
    <row r="7" spans="2:6" x14ac:dyDescent="0.25">
      <c r="B7" t="s">
        <v>7</v>
      </c>
      <c r="C7">
        <v>800</v>
      </c>
      <c r="D7">
        <v>700</v>
      </c>
      <c r="E7">
        <v>100</v>
      </c>
      <c r="F7" s="4">
        <f>D7/C7</f>
        <v>0.875</v>
      </c>
    </row>
  </sheetData>
  <mergeCells count="1">
    <mergeCell ref="B2:F2"/>
  </mergeCells>
  <pageMargins left="0.7" right="0.7" top="0.75" bottom="0.75" header="0.3" footer="0.3"/>
  <drawing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F7"/>
  <sheetViews>
    <sheetView workbookViewId="0">
      <selection activeCell="J4" sqref="J4"/>
    </sheetView>
  </sheetViews>
  <sheetFormatPr defaultRowHeight="15" x14ac:dyDescent="0.25"/>
  <cols>
    <col min="3" max="3" width="18" customWidth="1"/>
    <col min="4" max="4" width="19.28515625" customWidth="1"/>
    <col min="5" max="5" width="12.5703125" customWidth="1"/>
    <col min="6" max="6" width="11.28515625" customWidth="1"/>
  </cols>
  <sheetData>
    <row r="2" spans="2:6" x14ac:dyDescent="0.25">
      <c r="B2" s="11" t="s">
        <v>22</v>
      </c>
      <c r="C2" s="11"/>
      <c r="D2" s="11"/>
      <c r="E2" s="11"/>
      <c r="F2" s="11"/>
    </row>
    <row r="4" spans="2:6" x14ac:dyDescent="0.25">
      <c r="B4" s="5" t="s">
        <v>8</v>
      </c>
      <c r="C4" s="6" t="s">
        <v>1</v>
      </c>
      <c r="D4" s="6" t="s">
        <v>2</v>
      </c>
      <c r="E4" s="6" t="s">
        <v>3</v>
      </c>
      <c r="F4" s="7" t="s">
        <v>4</v>
      </c>
    </row>
    <row r="5" spans="2:6" x14ac:dyDescent="0.25">
      <c r="B5" s="1" t="s">
        <v>9</v>
      </c>
      <c r="C5" s="2">
        <v>977</v>
      </c>
      <c r="D5" s="2">
        <v>790</v>
      </c>
      <c r="E5" s="2">
        <v>187</v>
      </c>
      <c r="F5" s="3">
        <v>0.80859774820880248</v>
      </c>
    </row>
    <row r="6" spans="2:6" x14ac:dyDescent="0.25">
      <c r="B6" t="s">
        <v>10</v>
      </c>
      <c r="C6">
        <v>990</v>
      </c>
      <c r="D6">
        <v>800</v>
      </c>
      <c r="E6">
        <f>C6-D6</f>
        <v>190</v>
      </c>
      <c r="F6" s="4">
        <f>D6/C6</f>
        <v>0.80808080808080807</v>
      </c>
    </row>
    <row r="7" spans="2:6" x14ac:dyDescent="0.25">
      <c r="B7" t="s">
        <v>11</v>
      </c>
      <c r="C7">
        <v>900</v>
      </c>
      <c r="D7">
        <v>750</v>
      </c>
      <c r="E7">
        <f>C7-D7</f>
        <v>150</v>
      </c>
      <c r="F7" s="4">
        <f>D7/C7</f>
        <v>0.83333333333333337</v>
      </c>
    </row>
  </sheetData>
  <mergeCells count="1">
    <mergeCell ref="B2:F2"/>
  </mergeCells>
  <pageMargins left="0.7" right="0.7" top="0.75" bottom="0.75" header="0.3" footer="0.3"/>
  <drawing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G28"/>
  <sheetViews>
    <sheetView topLeftCell="B1" workbookViewId="0">
      <selection activeCell="B3" sqref="B3"/>
    </sheetView>
  </sheetViews>
  <sheetFormatPr defaultRowHeight="15" x14ac:dyDescent="0.25"/>
  <cols>
    <col min="2" max="2" width="14" customWidth="1"/>
    <col min="3" max="3" width="32" customWidth="1"/>
    <col min="4" max="4" width="36" customWidth="1"/>
    <col min="5" max="5" width="12.5703125" customWidth="1"/>
    <col min="6" max="6" width="33.42578125" customWidth="1"/>
    <col min="7" max="7" width="32.85546875" customWidth="1"/>
  </cols>
  <sheetData>
    <row r="2" spans="2:7" x14ac:dyDescent="0.25">
      <c r="B2" s="11" t="s">
        <v>12</v>
      </c>
      <c r="C2" s="11"/>
      <c r="D2" s="11"/>
      <c r="E2" s="11"/>
      <c r="F2" s="11"/>
      <c r="G2" s="11"/>
    </row>
    <row r="4" spans="2:7" x14ac:dyDescent="0.25">
      <c r="B4" t="s">
        <v>0</v>
      </c>
      <c r="C4" t="s">
        <v>13</v>
      </c>
      <c r="D4" t="s">
        <v>14</v>
      </c>
      <c r="E4" t="s">
        <v>15</v>
      </c>
      <c r="F4" t="s">
        <v>16</v>
      </c>
      <c r="G4" t="s">
        <v>17</v>
      </c>
    </row>
    <row r="5" spans="2:7" x14ac:dyDescent="0.25">
      <c r="B5" t="s">
        <v>5</v>
      </c>
      <c r="C5" s="2">
        <v>422</v>
      </c>
      <c r="D5" s="2">
        <v>234</v>
      </c>
      <c r="E5" s="2">
        <v>188</v>
      </c>
      <c r="F5" s="8">
        <v>0.55450236966824595</v>
      </c>
      <c r="G5" s="4">
        <f>E5/C5</f>
        <v>0.44549763033175355</v>
      </c>
    </row>
    <row r="6" spans="2:7" x14ac:dyDescent="0.25">
      <c r="B6" t="s">
        <v>6</v>
      </c>
      <c r="C6">
        <v>300</v>
      </c>
      <c r="D6">
        <v>290</v>
      </c>
      <c r="E6">
        <f>C6-D6</f>
        <v>10</v>
      </c>
      <c r="F6" s="4">
        <f>D6/C6</f>
        <v>0.96666666666666667</v>
      </c>
      <c r="G6" s="4">
        <f>E6/C6</f>
        <v>3.3333333333333333E-2</v>
      </c>
    </row>
    <row r="7" spans="2:7" x14ac:dyDescent="0.25">
      <c r="B7" t="s">
        <v>7</v>
      </c>
      <c r="C7">
        <v>500</v>
      </c>
      <c r="D7">
        <v>300</v>
      </c>
      <c r="E7">
        <v>200</v>
      </c>
      <c r="F7" s="4">
        <f>D7/C7</f>
        <v>0.6</v>
      </c>
      <c r="G7" s="4">
        <f>E7/C7</f>
        <v>0.4</v>
      </c>
    </row>
    <row r="25" spans="2:7" x14ac:dyDescent="0.25">
      <c r="B25" s="5" t="s">
        <v>0</v>
      </c>
      <c r="C25" s="6" t="s">
        <v>18</v>
      </c>
      <c r="D25" s="6" t="s">
        <v>19</v>
      </c>
      <c r="E25" s="6" t="s">
        <v>15</v>
      </c>
      <c r="F25" s="6" t="s">
        <v>16</v>
      </c>
      <c r="G25" s="7" t="s">
        <v>17</v>
      </c>
    </row>
    <row r="26" spans="2:7" x14ac:dyDescent="0.25">
      <c r="B26" t="s">
        <v>5</v>
      </c>
      <c r="C26" s="2">
        <v>348</v>
      </c>
      <c r="D26" s="2">
        <v>191</v>
      </c>
      <c r="E26" s="2">
        <v>157</v>
      </c>
      <c r="F26" s="8">
        <v>0.54885057471264365</v>
      </c>
      <c r="G26" s="4">
        <f>E26/C26</f>
        <v>0.4511494252873563</v>
      </c>
    </row>
    <row r="27" spans="2:7" x14ac:dyDescent="0.25">
      <c r="B27" t="s">
        <v>6</v>
      </c>
      <c r="C27">
        <v>400</v>
      </c>
      <c r="D27">
        <v>200</v>
      </c>
      <c r="E27">
        <v>200</v>
      </c>
      <c r="F27" s="4">
        <f>Table4[[#This Row],[Projecet assignment tasks completed]]/Table4[[#This Row],[Project Assignment tasks alotted]]</f>
        <v>0.5</v>
      </c>
      <c r="G27" s="4">
        <f>Table4[[#This Row],[Remaining]]/Table4[[#This Row],[Project Assignment tasks alotted]]</f>
        <v>0.5</v>
      </c>
    </row>
    <row r="28" spans="2:7" x14ac:dyDescent="0.25">
      <c r="B28" t="s">
        <v>7</v>
      </c>
      <c r="C28">
        <v>350</v>
      </c>
      <c r="D28">
        <v>200</v>
      </c>
      <c r="E28">
        <f>Table4[[#This Row],[Project Assignment tasks alotted]]-Table4[[#This Row],[Projecet assignment tasks completed]]</f>
        <v>150</v>
      </c>
      <c r="F28" s="4">
        <f>Table4[[#This Row],[Projecet assignment tasks completed]]/Table4[[#This Row],[Project Assignment tasks alotted]]</f>
        <v>0.5714285714285714</v>
      </c>
      <c r="G28" s="4">
        <f>Table4[[#This Row],[Remaining]]/Table4[[#This Row],[Project Assignment tasks alotted]]</f>
        <v>0.42857142857142855</v>
      </c>
    </row>
  </sheetData>
  <mergeCells count="1">
    <mergeCell ref="B2:G2"/>
  </mergeCells>
  <pageMargins left="0.7" right="0.7" top="0.75" bottom="0.75" header="0.3" footer="0.3"/>
  <drawing r:id="rId1"/>
  <tableParts count="2">
    <tablePart r:id="rId2"/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G27"/>
  <sheetViews>
    <sheetView workbookViewId="0">
      <selection activeCell="L29" sqref="L29"/>
    </sheetView>
  </sheetViews>
  <sheetFormatPr defaultRowHeight="15" x14ac:dyDescent="0.25"/>
  <cols>
    <col min="3" max="3" width="23.7109375" customWidth="1"/>
    <col min="4" max="4" width="26.28515625" customWidth="1"/>
    <col min="5" max="5" width="12.5703125" customWidth="1"/>
    <col min="6" max="6" width="33.42578125" customWidth="1"/>
    <col min="7" max="7" width="32.85546875" customWidth="1"/>
  </cols>
  <sheetData>
    <row r="1" spans="2:7" x14ac:dyDescent="0.25">
      <c r="B1" s="11" t="s">
        <v>20</v>
      </c>
      <c r="C1" s="11"/>
      <c r="D1" s="11"/>
      <c r="E1" s="11"/>
      <c r="F1" s="11"/>
      <c r="G1" s="11"/>
    </row>
    <row r="3" spans="2:7" x14ac:dyDescent="0.25">
      <c r="B3" s="5" t="s">
        <v>8</v>
      </c>
      <c r="C3" s="6" t="s">
        <v>13</v>
      </c>
      <c r="D3" s="6" t="s">
        <v>14</v>
      </c>
      <c r="E3" s="6" t="s">
        <v>15</v>
      </c>
      <c r="F3" s="6" t="s">
        <v>16</v>
      </c>
      <c r="G3" s="7" t="s">
        <v>17</v>
      </c>
    </row>
    <row r="4" spans="2:7" x14ac:dyDescent="0.25">
      <c r="B4" s="1" t="s">
        <v>9</v>
      </c>
      <c r="C4" s="2">
        <v>422</v>
      </c>
      <c r="D4" s="2">
        <v>234</v>
      </c>
      <c r="E4" s="2">
        <v>188</v>
      </c>
      <c r="F4" s="8">
        <v>0.55450236966824595</v>
      </c>
      <c r="G4" s="8">
        <f>E4/C4</f>
        <v>0.44549763033175355</v>
      </c>
    </row>
    <row r="5" spans="2:7" x14ac:dyDescent="0.25">
      <c r="B5" t="s">
        <v>10</v>
      </c>
      <c r="C5">
        <v>400</v>
      </c>
      <c r="D5">
        <v>200</v>
      </c>
      <c r="E5">
        <f>C5-D5</f>
        <v>200</v>
      </c>
      <c r="F5" s="4">
        <f>D5/C5</f>
        <v>0.5</v>
      </c>
      <c r="G5" s="4">
        <f>E5/C5</f>
        <v>0.5</v>
      </c>
    </row>
    <row r="6" spans="2:7" x14ac:dyDescent="0.25">
      <c r="B6" t="s">
        <v>11</v>
      </c>
      <c r="C6">
        <v>390</v>
      </c>
      <c r="D6">
        <v>250</v>
      </c>
      <c r="E6">
        <f>C6-D6</f>
        <v>140</v>
      </c>
      <c r="F6" s="4">
        <f>D6/C6</f>
        <v>0.64102564102564108</v>
      </c>
      <c r="G6" s="4">
        <f>E6/C6</f>
        <v>0.35897435897435898</v>
      </c>
    </row>
    <row r="24" spans="2:7" x14ac:dyDescent="0.25">
      <c r="B24" s="5" t="s">
        <v>8</v>
      </c>
      <c r="C24" s="6" t="s">
        <v>33</v>
      </c>
      <c r="D24" s="6" t="s">
        <v>34</v>
      </c>
      <c r="E24" s="6" t="s">
        <v>15</v>
      </c>
      <c r="F24" s="6" t="s">
        <v>16</v>
      </c>
      <c r="G24" s="7" t="s">
        <v>17</v>
      </c>
    </row>
    <row r="25" spans="2:7" x14ac:dyDescent="0.25">
      <c r="B25" s="1" t="s">
        <v>9</v>
      </c>
      <c r="C25" s="2">
        <v>200</v>
      </c>
      <c r="D25" s="2">
        <v>150</v>
      </c>
      <c r="E25" s="2">
        <f>Table57[[#This Row],[Project assignment tasks allotted]]-Table57[[#This Row],[Project assignment tasks completed]]</f>
        <v>50</v>
      </c>
      <c r="F25" s="8">
        <f>Table57[[#This Row],[Project assignment tasks completed]]/Table57[[#This Row],[Project assignment tasks allotted]]</f>
        <v>0.75</v>
      </c>
      <c r="G25" s="8">
        <f>Table57[[#This Row],[Remaining]]/Table57[[#This Row],[Project assignment tasks allotted]]</f>
        <v>0.25</v>
      </c>
    </row>
    <row r="26" spans="2:7" x14ac:dyDescent="0.25">
      <c r="B26" t="s">
        <v>10</v>
      </c>
      <c r="C26">
        <v>320</v>
      </c>
      <c r="D26">
        <v>200</v>
      </c>
      <c r="E26">
        <f>Table57[[#This Row],[Project assignment tasks allotted]]-Table57[[#This Row],[Project assignment tasks completed]]</f>
        <v>120</v>
      </c>
      <c r="F26" s="4">
        <f>Table57[[#This Row],[Project assignment tasks completed]]/Table57[[#This Row],[Project assignment tasks allotted]]</f>
        <v>0.625</v>
      </c>
      <c r="G26" s="4">
        <f>Table57[[#This Row],[Remaining]]/Table57[[#This Row],[Project assignment tasks allotted]]</f>
        <v>0.375</v>
      </c>
    </row>
    <row r="27" spans="2:7" x14ac:dyDescent="0.25">
      <c r="B27" t="s">
        <v>11</v>
      </c>
      <c r="C27">
        <v>300</v>
      </c>
      <c r="D27">
        <v>250</v>
      </c>
      <c r="E27">
        <f>Table57[[#This Row],[Project assignment tasks allotted]]-Table57[[#This Row],[Project assignment tasks completed]]</f>
        <v>50</v>
      </c>
      <c r="F27" s="4">
        <f>Table57[[#This Row],[Project assignment tasks completed]]/Table57[[#This Row],[Project assignment tasks allotted]]</f>
        <v>0.83333333333333337</v>
      </c>
      <c r="G27" s="4">
        <f>Table57[[#This Row],[Remaining]]/Table57[[#This Row],[Project assignment tasks allotted]]</f>
        <v>0.16666666666666666</v>
      </c>
    </row>
  </sheetData>
  <mergeCells count="1">
    <mergeCell ref="B1:G1"/>
  </mergeCells>
  <pageMargins left="0.7" right="0.7" top="0.75" bottom="0.75" header="0.3" footer="0.3"/>
  <drawing r:id="rId1"/>
  <tableParts count="2">
    <tablePart r:id="rId2"/>
    <tablePart r:id="rId3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E25"/>
  <sheetViews>
    <sheetView workbookViewId="0">
      <selection activeCell="F22" sqref="F22"/>
    </sheetView>
  </sheetViews>
  <sheetFormatPr defaultRowHeight="15" x14ac:dyDescent="0.25"/>
  <cols>
    <col min="2" max="2" width="14" customWidth="1"/>
    <col min="3" max="4" width="13" customWidth="1"/>
  </cols>
  <sheetData>
    <row r="1" spans="2:5" x14ac:dyDescent="0.25">
      <c r="B1" s="11" t="s">
        <v>31</v>
      </c>
      <c r="C1" s="11"/>
      <c r="D1" s="11"/>
      <c r="E1" s="11"/>
    </row>
    <row r="3" spans="2:5" x14ac:dyDescent="0.25">
      <c r="B3" t="s">
        <v>0</v>
      </c>
      <c r="C3" t="s">
        <v>23</v>
      </c>
      <c r="D3" t="s">
        <v>24</v>
      </c>
      <c r="E3" t="s">
        <v>25</v>
      </c>
    </row>
    <row r="4" spans="2:5" x14ac:dyDescent="0.25">
      <c r="B4" t="s">
        <v>5</v>
      </c>
      <c r="C4" t="s">
        <v>26</v>
      </c>
      <c r="D4">
        <v>20</v>
      </c>
      <c r="E4" s="4">
        <f>Table16[[#This Row],[No. of days]]/Table16[[#Totals],[No. of days]]</f>
        <v>4.3383947939262472E-2</v>
      </c>
    </row>
    <row r="5" spans="2:5" x14ac:dyDescent="0.25">
      <c r="C5" t="s">
        <v>27</v>
      </c>
      <c r="D5">
        <v>28</v>
      </c>
      <c r="E5" s="4">
        <f>Table16[[#This Row],[No. of days]]/Table16[[#Totals],[No. of days]]</f>
        <v>6.0737527114967459E-2</v>
      </c>
    </row>
    <row r="6" spans="2:5" x14ac:dyDescent="0.25">
      <c r="C6" t="s">
        <v>28</v>
      </c>
      <c r="D6">
        <v>130</v>
      </c>
      <c r="E6" s="4">
        <f>Table16[[#This Row],[No. of days]]/Table16[[#Totals],[No. of days]]</f>
        <v>0.28199566160520606</v>
      </c>
    </row>
    <row r="7" spans="2:5" x14ac:dyDescent="0.25">
      <c r="C7" t="s">
        <v>29</v>
      </c>
      <c r="D7">
        <v>18</v>
      </c>
      <c r="E7" s="4">
        <f>Table16[[#This Row],[No. of days]]/Table16[[#Totals],[No. of days]]</f>
        <v>3.9045553145336226E-2</v>
      </c>
    </row>
    <row r="8" spans="2:5" x14ac:dyDescent="0.25">
      <c r="B8" t="s">
        <v>6</v>
      </c>
      <c r="C8" t="s">
        <v>26</v>
      </c>
      <c r="D8">
        <v>25</v>
      </c>
      <c r="E8" s="4">
        <f>Table16[[#This Row],[No. of days]]/Table16[[#Totals],[No. of days]]</f>
        <v>5.4229934924078092E-2</v>
      </c>
    </row>
    <row r="9" spans="2:5" x14ac:dyDescent="0.25">
      <c r="C9" t="s">
        <v>27</v>
      </c>
      <c r="D9">
        <v>30</v>
      </c>
      <c r="E9" s="4">
        <f>Table16[[#This Row],[No. of days]]/Table16[[#Totals],[No. of days]]</f>
        <v>6.5075921908893705E-2</v>
      </c>
    </row>
    <row r="10" spans="2:5" x14ac:dyDescent="0.25">
      <c r="C10" t="s">
        <v>28</v>
      </c>
      <c r="D10">
        <v>60</v>
      </c>
      <c r="E10" s="4">
        <f>Table16[[#This Row],[No. of days]]/Table16[[#Totals],[No. of days]]</f>
        <v>0.13015184381778741</v>
      </c>
    </row>
    <row r="11" spans="2:5" x14ac:dyDescent="0.25">
      <c r="C11" t="s">
        <v>29</v>
      </c>
      <c r="D11">
        <v>10</v>
      </c>
      <c r="E11" s="4">
        <f>Table16[[#This Row],[No. of days]]/Table16[[#Totals],[No. of days]]</f>
        <v>2.1691973969631236E-2</v>
      </c>
    </row>
    <row r="12" spans="2:5" x14ac:dyDescent="0.25">
      <c r="B12" t="s">
        <v>7</v>
      </c>
      <c r="C12" t="s">
        <v>26</v>
      </c>
      <c r="D12">
        <v>10</v>
      </c>
      <c r="E12" s="4">
        <f>Table16[[#This Row],[No. of days]]/Table16[[#Totals],[No. of days]]</f>
        <v>2.1691973969631236E-2</v>
      </c>
    </row>
    <row r="13" spans="2:5" x14ac:dyDescent="0.25">
      <c r="C13" t="s">
        <v>27</v>
      </c>
      <c r="D13">
        <v>35</v>
      </c>
      <c r="E13" s="4">
        <f>Table16[[#This Row],[No. of days]]/Table16[[#Totals],[No. of days]]</f>
        <v>7.5921908893709325E-2</v>
      </c>
    </row>
    <row r="14" spans="2:5" x14ac:dyDescent="0.25">
      <c r="C14" t="s">
        <v>28</v>
      </c>
      <c r="D14">
        <v>80</v>
      </c>
      <c r="E14" s="4">
        <f>Table16[[#This Row],[No. of days]]/Table16[[#Totals],[No. of days]]</f>
        <v>0.17353579175704989</v>
      </c>
    </row>
    <row r="15" spans="2:5" x14ac:dyDescent="0.25">
      <c r="C15" t="s">
        <v>29</v>
      </c>
      <c r="D15">
        <v>15</v>
      </c>
      <c r="E15" s="4">
        <f>Table16[[#This Row],[No. of days]]/Table16[[#Totals],[No. of days]]</f>
        <v>3.2537960954446853E-2</v>
      </c>
    </row>
    <row r="16" spans="2:5" x14ac:dyDescent="0.25">
      <c r="C16" t="s">
        <v>30</v>
      </c>
      <c r="D16">
        <f>SUM(Table16[No. of days])</f>
        <v>461</v>
      </c>
      <c r="E16" s="9"/>
    </row>
    <row r="21" spans="2:4" x14ac:dyDescent="0.25">
      <c r="B21" t="s">
        <v>0</v>
      </c>
      <c r="C21" t="s">
        <v>24</v>
      </c>
      <c r="D21" t="s">
        <v>25</v>
      </c>
    </row>
    <row r="22" spans="2:4" x14ac:dyDescent="0.25">
      <c r="B22" t="s">
        <v>5</v>
      </c>
      <c r="C22">
        <v>196</v>
      </c>
      <c r="D22" s="4">
        <f>Table12[[#This Row],[No. of days]]/Table12[[#Totals],[No. of days]]</f>
        <v>0.42516268980477223</v>
      </c>
    </row>
    <row r="23" spans="2:4" x14ac:dyDescent="0.25">
      <c r="B23" t="s">
        <v>6</v>
      </c>
      <c r="C23">
        <v>125</v>
      </c>
      <c r="D23" s="4">
        <f>Table12[[#This Row],[No. of days]]/Table12[[#Totals],[No. of days]]</f>
        <v>0.27114967462039047</v>
      </c>
    </row>
    <row r="24" spans="2:4" x14ac:dyDescent="0.25">
      <c r="B24" t="s">
        <v>7</v>
      </c>
      <c r="C24">
        <v>140</v>
      </c>
      <c r="D24" s="4">
        <f>Table12[[#This Row],[No. of days]]/Table12[[#Totals],[No. of days]]</f>
        <v>0.3036876355748373</v>
      </c>
    </row>
    <row r="25" spans="2:4" x14ac:dyDescent="0.25">
      <c r="C25">
        <f>SUM(Table12[No. of days])</f>
        <v>461</v>
      </c>
      <c r="D25" s="10"/>
    </row>
  </sheetData>
  <mergeCells count="1">
    <mergeCell ref="B1:E1"/>
  </mergeCells>
  <pageMargins left="0.7" right="0.7" top="0.75" bottom="0.75" header="0.3" footer="0.3"/>
  <drawing r:id="rId1"/>
  <tableParts count="4">
    <tablePart r:id="rId2"/>
    <tablePart r:id="rId3"/>
    <tablePart r:id="rId4"/>
    <tablePart r:id="rId5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02"/>
  <sheetViews>
    <sheetView topLeftCell="A31" workbookViewId="0">
      <selection activeCell="N102" sqref="N102"/>
    </sheetView>
  </sheetViews>
  <sheetFormatPr defaultRowHeight="15" x14ac:dyDescent="0.25"/>
  <cols>
    <col min="3" max="4" width="13" customWidth="1"/>
  </cols>
  <sheetData>
    <row r="1" spans="2:5" x14ac:dyDescent="0.25">
      <c r="B1" s="11" t="s">
        <v>32</v>
      </c>
      <c r="C1" s="11"/>
      <c r="D1" s="11"/>
      <c r="E1" s="11"/>
    </row>
    <row r="3" spans="2:5" x14ac:dyDescent="0.25">
      <c r="B3" t="s">
        <v>8</v>
      </c>
      <c r="C3" t="s">
        <v>23</v>
      </c>
      <c r="D3" t="s">
        <v>24</v>
      </c>
      <c r="E3" t="s">
        <v>25</v>
      </c>
    </row>
    <row r="4" spans="2:5" x14ac:dyDescent="0.25">
      <c r="B4" t="s">
        <v>9</v>
      </c>
      <c r="C4" t="s">
        <v>26</v>
      </c>
      <c r="D4">
        <v>20</v>
      </c>
      <c r="E4" s="4">
        <f>Table14[[#This Row],[No. of days]]/Table14[[#Totals],[No. of days]]</f>
        <v>5.6179775280898875E-2</v>
      </c>
    </row>
    <row r="5" spans="2:5" x14ac:dyDescent="0.25">
      <c r="C5" t="s">
        <v>27</v>
      </c>
      <c r="D5">
        <v>28</v>
      </c>
      <c r="E5" s="4">
        <f>Table14[[#This Row],[No. of days]]/Table14[[#Totals],[No. of days]]</f>
        <v>7.8651685393258425E-2</v>
      </c>
    </row>
    <row r="6" spans="2:5" x14ac:dyDescent="0.25">
      <c r="C6" t="s">
        <v>28</v>
      </c>
      <c r="D6">
        <v>130</v>
      </c>
      <c r="E6" s="4">
        <f>Table14[[#This Row],[No. of days]]/Table14[[#Totals],[No. of days]]</f>
        <v>0.3651685393258427</v>
      </c>
    </row>
    <row r="7" spans="2:5" x14ac:dyDescent="0.25">
      <c r="C7" t="s">
        <v>29</v>
      </c>
      <c r="D7">
        <v>18</v>
      </c>
      <c r="E7" s="4">
        <f>Table14[[#This Row],[No. of days]]/Table14[[#Totals],[No. of days]]</f>
        <v>5.0561797752808987E-2</v>
      </c>
    </row>
    <row r="8" spans="2:5" x14ac:dyDescent="0.25">
      <c r="B8" t="s">
        <v>10</v>
      </c>
      <c r="C8" t="s">
        <v>26</v>
      </c>
      <c r="D8">
        <v>15</v>
      </c>
      <c r="E8" s="4">
        <f>Table14[[#This Row],[No. of days]]/Table14[[#Totals],[No. of days]]</f>
        <v>4.2134831460674156E-2</v>
      </c>
    </row>
    <row r="9" spans="2:5" x14ac:dyDescent="0.25">
      <c r="C9" t="s">
        <v>27</v>
      </c>
      <c r="D9">
        <v>25</v>
      </c>
      <c r="E9" s="4">
        <f>Table14[[#This Row],[No. of days]]/Table14[[#Totals],[No. of days]]</f>
        <v>7.02247191011236E-2</v>
      </c>
    </row>
    <row r="10" spans="2:5" x14ac:dyDescent="0.25">
      <c r="C10" t="s">
        <v>28</v>
      </c>
      <c r="D10">
        <v>30</v>
      </c>
      <c r="E10" s="4">
        <f>Table14[[#This Row],[No. of days]]/Table14[[#Totals],[No. of days]]</f>
        <v>8.4269662921348312E-2</v>
      </c>
    </row>
    <row r="11" spans="2:5" x14ac:dyDescent="0.25">
      <c r="C11" t="s">
        <v>29</v>
      </c>
      <c r="D11">
        <v>5</v>
      </c>
      <c r="E11" s="4">
        <f>Table14[[#This Row],[No. of days]]/Table14[[#Totals],[No. of days]]</f>
        <v>1.4044943820224719E-2</v>
      </c>
    </row>
    <row r="12" spans="2:5" x14ac:dyDescent="0.25">
      <c r="B12" t="s">
        <v>11</v>
      </c>
      <c r="C12" t="s">
        <v>26</v>
      </c>
      <c r="D12">
        <v>10</v>
      </c>
      <c r="E12" s="4">
        <f>Table14[[#This Row],[No. of days]]/Table14[[#Totals],[No. of days]]</f>
        <v>2.8089887640449437E-2</v>
      </c>
    </row>
    <row r="13" spans="2:5" x14ac:dyDescent="0.25">
      <c r="C13" t="s">
        <v>27</v>
      </c>
      <c r="D13">
        <v>20</v>
      </c>
      <c r="E13" s="4">
        <f>Table14[[#This Row],[No. of days]]/Table14[[#Totals],[No. of days]]</f>
        <v>5.6179775280898875E-2</v>
      </c>
    </row>
    <row r="14" spans="2:5" x14ac:dyDescent="0.25">
      <c r="C14" t="s">
        <v>28</v>
      </c>
      <c r="D14">
        <v>40</v>
      </c>
      <c r="E14" s="4">
        <f>Table14[[#This Row],[No. of days]]/Table14[[#Totals],[No. of days]]</f>
        <v>0.11235955056179775</v>
      </c>
    </row>
    <row r="15" spans="2:5" x14ac:dyDescent="0.25">
      <c r="C15" t="s">
        <v>29</v>
      </c>
      <c r="D15">
        <v>15</v>
      </c>
      <c r="E15" s="4">
        <f>Table14[[#This Row],[No. of days]]/Table14[[#Totals],[No. of days]]</f>
        <v>4.2134831460674156E-2</v>
      </c>
    </row>
    <row r="16" spans="2:5" x14ac:dyDescent="0.25">
      <c r="D16">
        <f>SUM(Table14[No. of days])</f>
        <v>356</v>
      </c>
      <c r="E16" s="10"/>
    </row>
    <row r="19" spans="1:4" x14ac:dyDescent="0.25">
      <c r="A19">
        <v>1</v>
      </c>
      <c r="B19" t="s">
        <v>8</v>
      </c>
      <c r="C19" t="s">
        <v>24</v>
      </c>
      <c r="D19" t="s">
        <v>25</v>
      </c>
    </row>
    <row r="20" spans="1:4" x14ac:dyDescent="0.25">
      <c r="B20" t="s">
        <v>9</v>
      </c>
      <c r="C20">
        <v>196</v>
      </c>
      <c r="D20" s="4">
        <f>Table17[[#This Row],[No. of days]]/Table17[[#Totals],[No. of days]]</f>
        <v>0.550561797752809</v>
      </c>
    </row>
    <row r="21" spans="1:4" x14ac:dyDescent="0.25">
      <c r="B21" t="s">
        <v>10</v>
      </c>
      <c r="C21">
        <v>75</v>
      </c>
      <c r="D21" s="4">
        <f>Table17[[#This Row],[No. of days]]/Table17[[#Totals],[No. of days]]</f>
        <v>0.21067415730337077</v>
      </c>
    </row>
    <row r="22" spans="1:4" x14ac:dyDescent="0.25">
      <c r="B22" t="s">
        <v>11</v>
      </c>
      <c r="C22">
        <v>85</v>
      </c>
      <c r="D22" s="4">
        <f>Table17[[#This Row],[No. of days]]/Table17[[#Totals],[No. of days]]</f>
        <v>0.23876404494382023</v>
      </c>
    </row>
    <row r="23" spans="1:4" x14ac:dyDescent="0.25">
      <c r="C23">
        <f>SUM(Table17[No. of days])</f>
        <v>356</v>
      </c>
      <c r="D23" s="10"/>
    </row>
    <row r="24" spans="1:4" x14ac:dyDescent="0.25">
      <c r="D24" s="10"/>
    </row>
    <row r="25" spans="1:4" x14ac:dyDescent="0.25">
      <c r="D25" s="10"/>
    </row>
    <row r="26" spans="1:4" x14ac:dyDescent="0.25">
      <c r="D26" s="10"/>
    </row>
    <row r="27" spans="1:4" x14ac:dyDescent="0.25">
      <c r="D27" s="10"/>
    </row>
    <row r="28" spans="1:4" x14ac:dyDescent="0.25">
      <c r="D28" s="10"/>
    </row>
    <row r="29" spans="1:4" x14ac:dyDescent="0.25">
      <c r="D29" s="10"/>
    </row>
    <row r="30" spans="1:4" x14ac:dyDescent="0.25">
      <c r="D30" s="10"/>
    </row>
    <row r="31" spans="1:4" x14ac:dyDescent="0.25">
      <c r="D31" s="10"/>
    </row>
    <row r="32" spans="1:4" x14ac:dyDescent="0.25">
      <c r="D32" s="10"/>
    </row>
    <row r="33" spans="1:5" x14ac:dyDescent="0.25">
      <c r="D33" s="10"/>
    </row>
    <row r="34" spans="1:5" x14ac:dyDescent="0.25">
      <c r="D34" s="10"/>
    </row>
    <row r="35" spans="1:5" x14ac:dyDescent="0.25">
      <c r="D35" s="10"/>
    </row>
    <row r="37" spans="1:5" x14ac:dyDescent="0.25">
      <c r="A37">
        <v>2</v>
      </c>
      <c r="B37" t="s">
        <v>8</v>
      </c>
      <c r="C37" t="s">
        <v>23</v>
      </c>
      <c r="D37" t="s">
        <v>24</v>
      </c>
      <c r="E37" t="s">
        <v>25</v>
      </c>
    </row>
    <row r="38" spans="1:5" x14ac:dyDescent="0.25">
      <c r="B38" t="s">
        <v>9</v>
      </c>
      <c r="C38" t="s">
        <v>26</v>
      </c>
      <c r="D38">
        <v>20</v>
      </c>
      <c r="E38" s="4">
        <f>Table21[[#This Row],[No. of days]]/Table21[[#Totals],[No. of days]]</f>
        <v>0.44444444444444442</v>
      </c>
    </row>
    <row r="39" spans="1:5" x14ac:dyDescent="0.25">
      <c r="B39" t="s">
        <v>10</v>
      </c>
      <c r="C39" t="s">
        <v>26</v>
      </c>
      <c r="D39">
        <v>15</v>
      </c>
      <c r="E39" s="4">
        <f>Table21[[#This Row],[No. of days]]/Table21[[#Totals],[No. of days]]</f>
        <v>0.33333333333333331</v>
      </c>
    </row>
    <row r="40" spans="1:5" x14ac:dyDescent="0.25">
      <c r="B40" t="s">
        <v>11</v>
      </c>
      <c r="C40" t="s">
        <v>26</v>
      </c>
      <c r="D40">
        <v>10</v>
      </c>
      <c r="E40" s="4">
        <f>Table21[[#This Row],[No. of days]]/Table21[[#Totals],[No. of days]]</f>
        <v>0.22222222222222221</v>
      </c>
    </row>
    <row r="41" spans="1:5" x14ac:dyDescent="0.25">
      <c r="D41">
        <f>SUM(Table21[No. of days])</f>
        <v>45</v>
      </c>
      <c r="E41" s="10"/>
    </row>
    <row r="42" spans="1:5" x14ac:dyDescent="0.25">
      <c r="E42" s="4"/>
    </row>
    <row r="43" spans="1:5" x14ac:dyDescent="0.25">
      <c r="E43" s="4"/>
    </row>
    <row r="44" spans="1:5" x14ac:dyDescent="0.25">
      <c r="E44" s="4"/>
    </row>
    <row r="45" spans="1:5" x14ac:dyDescent="0.25">
      <c r="E45" s="4"/>
    </row>
    <row r="46" spans="1:5" x14ac:dyDescent="0.25">
      <c r="E46" s="4"/>
    </row>
    <row r="47" spans="1:5" x14ac:dyDescent="0.25">
      <c r="E47" s="4"/>
    </row>
    <row r="48" spans="1:5" x14ac:dyDescent="0.25">
      <c r="E48" s="4"/>
    </row>
    <row r="49" spans="1:5" x14ac:dyDescent="0.25">
      <c r="E49" s="4"/>
    </row>
    <row r="50" spans="1:5" x14ac:dyDescent="0.25">
      <c r="E50" s="4"/>
    </row>
    <row r="51" spans="1:5" x14ac:dyDescent="0.25">
      <c r="E51" s="4"/>
    </row>
    <row r="52" spans="1:5" x14ac:dyDescent="0.25">
      <c r="E52" s="4"/>
    </row>
    <row r="53" spans="1:5" x14ac:dyDescent="0.25">
      <c r="E53" s="4"/>
    </row>
    <row r="54" spans="1:5" x14ac:dyDescent="0.25">
      <c r="E54" s="4"/>
    </row>
    <row r="55" spans="1:5" x14ac:dyDescent="0.25">
      <c r="E55" s="4"/>
    </row>
    <row r="57" spans="1:5" x14ac:dyDescent="0.25">
      <c r="A57">
        <v>3</v>
      </c>
      <c r="B57" t="s">
        <v>8</v>
      </c>
      <c r="C57" t="s">
        <v>23</v>
      </c>
      <c r="D57" t="s">
        <v>24</v>
      </c>
      <c r="E57" t="s">
        <v>25</v>
      </c>
    </row>
    <row r="58" spans="1:5" x14ac:dyDescent="0.25">
      <c r="B58" t="s">
        <v>9</v>
      </c>
      <c r="C58" t="s">
        <v>27</v>
      </c>
      <c r="D58">
        <v>28</v>
      </c>
      <c r="E58" s="4">
        <f>Table22[[#This Row],[No. of days]]/Table22[[#Totals],[No. of days]]</f>
        <v>0.38356164383561642</v>
      </c>
    </row>
    <row r="59" spans="1:5" x14ac:dyDescent="0.25">
      <c r="B59" t="s">
        <v>10</v>
      </c>
      <c r="C59" t="s">
        <v>27</v>
      </c>
      <c r="D59">
        <v>25</v>
      </c>
      <c r="E59" s="4">
        <f>Table22[[#This Row],[No. of days]]/Table22[[#Totals],[No. of days]]</f>
        <v>0.34246575342465752</v>
      </c>
    </row>
    <row r="60" spans="1:5" x14ac:dyDescent="0.25">
      <c r="B60" t="s">
        <v>11</v>
      </c>
      <c r="C60" t="s">
        <v>27</v>
      </c>
      <c r="D60">
        <v>20</v>
      </c>
      <c r="E60" s="4">
        <f>Table22[[#This Row],[No. of days]]/Table22[[#Totals],[No. of days]]</f>
        <v>0.27397260273972601</v>
      </c>
    </row>
    <row r="61" spans="1:5" x14ac:dyDescent="0.25">
      <c r="D61">
        <f>SUM(Table22[No. of days])</f>
        <v>73</v>
      </c>
      <c r="E61" s="10"/>
    </row>
    <row r="62" spans="1:5" x14ac:dyDescent="0.25">
      <c r="E62" s="4"/>
    </row>
    <row r="63" spans="1:5" x14ac:dyDescent="0.25">
      <c r="E63" s="4"/>
    </row>
    <row r="64" spans="1:5" x14ac:dyDescent="0.25">
      <c r="E64" s="4"/>
    </row>
    <row r="65" spans="1:5" x14ac:dyDescent="0.25">
      <c r="E65" s="4"/>
    </row>
    <row r="66" spans="1:5" x14ac:dyDescent="0.25">
      <c r="E66" s="4"/>
    </row>
    <row r="67" spans="1:5" x14ac:dyDescent="0.25">
      <c r="E67" s="4"/>
    </row>
    <row r="68" spans="1:5" x14ac:dyDescent="0.25">
      <c r="E68" s="4"/>
    </row>
    <row r="69" spans="1:5" x14ac:dyDescent="0.25">
      <c r="E69" s="4"/>
    </row>
    <row r="70" spans="1:5" x14ac:dyDescent="0.25">
      <c r="E70" s="4"/>
    </row>
    <row r="71" spans="1:5" x14ac:dyDescent="0.25">
      <c r="E71" s="4"/>
    </row>
    <row r="72" spans="1:5" x14ac:dyDescent="0.25">
      <c r="E72" s="4"/>
    </row>
    <row r="73" spans="1:5" x14ac:dyDescent="0.25">
      <c r="E73" s="4"/>
    </row>
    <row r="74" spans="1:5" x14ac:dyDescent="0.25">
      <c r="E74" s="4"/>
    </row>
    <row r="75" spans="1:5" x14ac:dyDescent="0.25">
      <c r="E75" s="4"/>
    </row>
    <row r="77" spans="1:5" x14ac:dyDescent="0.25">
      <c r="A77">
        <v>4</v>
      </c>
      <c r="B77" t="s">
        <v>8</v>
      </c>
      <c r="C77" t="s">
        <v>23</v>
      </c>
      <c r="D77" t="s">
        <v>24</v>
      </c>
      <c r="E77" t="s">
        <v>25</v>
      </c>
    </row>
    <row r="78" spans="1:5" x14ac:dyDescent="0.25">
      <c r="B78" t="s">
        <v>9</v>
      </c>
      <c r="C78" t="s">
        <v>28</v>
      </c>
      <c r="D78">
        <v>130</v>
      </c>
      <c r="E78" s="4">
        <f>Table23[[#This Row],[No. of days]]/Table23[[#Totals],[No. of days]]</f>
        <v>0.65</v>
      </c>
    </row>
    <row r="79" spans="1:5" x14ac:dyDescent="0.25">
      <c r="B79" t="s">
        <v>10</v>
      </c>
      <c r="C79" t="s">
        <v>28</v>
      </c>
      <c r="D79">
        <v>30</v>
      </c>
      <c r="E79" s="4">
        <f>Table23[[#This Row],[No. of days]]/Table23[[#Totals],[No. of days]]</f>
        <v>0.15</v>
      </c>
    </row>
    <row r="80" spans="1:5" x14ac:dyDescent="0.25">
      <c r="B80" t="s">
        <v>11</v>
      </c>
      <c r="C80" t="s">
        <v>28</v>
      </c>
      <c r="D80">
        <v>40</v>
      </c>
      <c r="E80" s="4">
        <f>Table23[[#This Row],[No. of days]]/Table23[[#Totals],[No. of days]]</f>
        <v>0.2</v>
      </c>
    </row>
    <row r="81" spans="4:5" x14ac:dyDescent="0.25">
      <c r="D81">
        <f>SUM(Table23[No. of days])</f>
        <v>200</v>
      </c>
      <c r="E81" s="10"/>
    </row>
    <row r="82" spans="4:5" x14ac:dyDescent="0.25">
      <c r="E82" s="4"/>
    </row>
    <row r="83" spans="4:5" x14ac:dyDescent="0.25">
      <c r="E83" s="4"/>
    </row>
    <row r="84" spans="4:5" x14ac:dyDescent="0.25">
      <c r="E84" s="4"/>
    </row>
    <row r="85" spans="4:5" x14ac:dyDescent="0.25">
      <c r="E85" s="4"/>
    </row>
    <row r="86" spans="4:5" x14ac:dyDescent="0.25">
      <c r="E86" s="4"/>
    </row>
    <row r="87" spans="4:5" x14ac:dyDescent="0.25">
      <c r="E87" s="4"/>
    </row>
    <row r="88" spans="4:5" x14ac:dyDescent="0.25">
      <c r="E88" s="4"/>
    </row>
    <row r="89" spans="4:5" x14ac:dyDescent="0.25">
      <c r="E89" s="4"/>
    </row>
    <row r="90" spans="4:5" x14ac:dyDescent="0.25">
      <c r="E90" s="4"/>
    </row>
    <row r="91" spans="4:5" x14ac:dyDescent="0.25">
      <c r="E91" s="4"/>
    </row>
    <row r="92" spans="4:5" x14ac:dyDescent="0.25">
      <c r="E92" s="4"/>
    </row>
    <row r="93" spans="4:5" x14ac:dyDescent="0.25">
      <c r="E93" s="4"/>
    </row>
    <row r="94" spans="4:5" x14ac:dyDescent="0.25">
      <c r="E94" s="4"/>
    </row>
    <row r="95" spans="4:5" x14ac:dyDescent="0.25">
      <c r="E95" s="4"/>
    </row>
    <row r="96" spans="4:5" x14ac:dyDescent="0.25">
      <c r="E96" s="4"/>
    </row>
    <row r="98" spans="1:5" x14ac:dyDescent="0.25">
      <c r="A98">
        <v>5</v>
      </c>
      <c r="B98" t="s">
        <v>8</v>
      </c>
      <c r="C98" t="s">
        <v>23</v>
      </c>
      <c r="D98" t="s">
        <v>24</v>
      </c>
      <c r="E98" t="s">
        <v>25</v>
      </c>
    </row>
    <row r="99" spans="1:5" x14ac:dyDescent="0.25">
      <c r="B99" t="s">
        <v>9</v>
      </c>
      <c r="C99" t="s">
        <v>29</v>
      </c>
      <c r="D99">
        <v>18</v>
      </c>
      <c r="E99" s="4">
        <f>Table24[[#This Row],[No. of days]]/Table24[[#Totals],[No. of days]]</f>
        <v>0.47368421052631576</v>
      </c>
    </row>
    <row r="100" spans="1:5" x14ac:dyDescent="0.25">
      <c r="B100" t="s">
        <v>10</v>
      </c>
      <c r="C100" t="s">
        <v>29</v>
      </c>
      <c r="D100">
        <v>5</v>
      </c>
      <c r="E100" s="4">
        <f>Table24[[#This Row],[No. of days]]/Table24[[#Totals],[No. of days]]</f>
        <v>0.13157894736842105</v>
      </c>
    </row>
    <row r="101" spans="1:5" x14ac:dyDescent="0.25">
      <c r="B101" t="s">
        <v>11</v>
      </c>
      <c r="C101" t="s">
        <v>29</v>
      </c>
      <c r="D101">
        <v>15</v>
      </c>
      <c r="E101" s="4">
        <f>Table24[[#This Row],[No. of days]]/Table24[[#Totals],[No. of days]]</f>
        <v>0.39473684210526316</v>
      </c>
    </row>
    <row r="102" spans="1:5" x14ac:dyDescent="0.25">
      <c r="D102">
        <f>SUM(Table24[No. of days])</f>
        <v>38</v>
      </c>
      <c r="E102" s="10"/>
    </row>
  </sheetData>
  <mergeCells count="1">
    <mergeCell ref="B1:E1"/>
  </mergeCells>
  <pageMargins left="0.7" right="0.7" top="0.75" bottom="0.75" header="0.3" footer="0.3"/>
  <drawing r:id="rId1"/>
  <tableParts count="12">
    <tablePart r:id="rId2"/>
    <tablePart r:id="rId3"/>
    <tablePart r:id="rId4"/>
    <tablePart r:id="rId5"/>
    <tablePart r:id="rId6"/>
    <tablePart r:id="rId7"/>
    <tablePart r:id="rId8"/>
    <tablePart r:id="rId9"/>
    <tablePart r:id="rId10"/>
    <tablePart r:id="rId11"/>
    <tablePart r:id="rId12"/>
    <tablePart r:id="rId13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G6"/>
  <sheetViews>
    <sheetView tabSelected="1" workbookViewId="0">
      <selection activeCell="B3" sqref="B3"/>
    </sheetView>
  </sheetViews>
  <sheetFormatPr defaultRowHeight="15" x14ac:dyDescent="0.25"/>
  <cols>
    <col min="1" max="1" width="9" customWidth="1"/>
    <col min="2" max="2" width="31.28515625" bestFit="1" customWidth="1"/>
    <col min="3" max="3" width="15.85546875" bestFit="1" customWidth="1"/>
    <col min="4" max="4" width="20.5703125" bestFit="1" customWidth="1"/>
    <col min="5" max="5" width="17.85546875" bestFit="1" customWidth="1"/>
    <col min="6" max="6" width="47.85546875" bestFit="1" customWidth="1"/>
    <col min="7" max="7" width="39.85546875" bestFit="1" customWidth="1"/>
  </cols>
  <sheetData>
    <row r="1" spans="2:7" x14ac:dyDescent="0.25">
      <c r="B1" t="s">
        <v>35</v>
      </c>
    </row>
    <row r="3" spans="2:7" x14ac:dyDescent="0.25">
      <c r="B3" s="6" t="s">
        <v>0</v>
      </c>
      <c r="C3" s="6" t="s">
        <v>36</v>
      </c>
      <c r="D3" s="6" t="s">
        <v>37</v>
      </c>
      <c r="E3" s="6" t="s">
        <v>38</v>
      </c>
      <c r="F3" s="6" t="s">
        <v>39</v>
      </c>
      <c r="G3" s="6" t="s">
        <v>40</v>
      </c>
    </row>
    <row r="4" spans="2:7" x14ac:dyDescent="0.25">
      <c r="B4" s="12" t="s">
        <v>5</v>
      </c>
      <c r="C4" s="13">
        <v>70</v>
      </c>
      <c r="D4" s="14">
        <v>46</v>
      </c>
      <c r="E4" s="13">
        <v>24</v>
      </c>
      <c r="F4" s="15">
        <f>Table38[Completed courses]/Table38[Courses taken]</f>
        <v>0.65714285714285714</v>
      </c>
      <c r="G4" s="15">
        <f>Table38[Pending courses]/Table38[Courses taken]</f>
        <v>0.34285714285714286</v>
      </c>
    </row>
    <row r="5" spans="2:7" x14ac:dyDescent="0.25">
      <c r="B5" s="16" t="s">
        <v>6</v>
      </c>
      <c r="C5" s="17">
        <v>50</v>
      </c>
      <c r="D5" s="18">
        <v>40</v>
      </c>
      <c r="E5" s="17">
        <f>Table38[[#This Row],[Courses taken]]-Table38[[#This Row],[Completed courses]]</f>
        <v>10</v>
      </c>
      <c r="F5" s="19">
        <f>Table38[Completed courses]/Table38[Courses taken]</f>
        <v>0.8</v>
      </c>
      <c r="G5" s="19">
        <f>Table38[Pending courses]/Table38[Courses taken]</f>
        <v>0.2</v>
      </c>
    </row>
    <row r="6" spans="2:7" x14ac:dyDescent="0.25">
      <c r="B6" s="16" t="s">
        <v>7</v>
      </c>
      <c r="C6" s="17">
        <v>80</v>
      </c>
      <c r="D6" s="18">
        <v>65</v>
      </c>
      <c r="E6" s="17">
        <f>Table38[[#This Row],[Courses taken]]-Table38[[#This Row],[Completed courses]]</f>
        <v>15</v>
      </c>
      <c r="F6" s="19">
        <f>Table38[Completed courses]/Table38[Courses taken]</f>
        <v>0.8125</v>
      </c>
      <c r="G6" s="19">
        <f>Table38[Pending courses]/Table38[Courses taken]</f>
        <v>0.1875</v>
      </c>
    </row>
  </sheetData>
  <pageMargins left="0.7" right="0.7" top="0.75" bottom="0.75" header="0.3" footer="0.3"/>
  <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Offices service perf. report</vt:lpstr>
      <vt:lpstr>Office service P.R. Quarterly</vt:lpstr>
      <vt:lpstr>Office wise excution report</vt:lpstr>
      <vt:lpstr>Office execution Rep. Quarterly</vt:lpstr>
      <vt:lpstr>All offices wise leave taken </vt:lpstr>
      <vt:lpstr>office wise quarterly leave re.</vt:lpstr>
      <vt:lpstr>Course Overview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</dc:creator>
  <cp:lastModifiedBy>A</cp:lastModifiedBy>
  <dcterms:created xsi:type="dcterms:W3CDTF">2019-07-17T07:23:07Z</dcterms:created>
  <dcterms:modified xsi:type="dcterms:W3CDTF">2019-07-19T11:49:02Z</dcterms:modified>
</cp:coreProperties>
</file>