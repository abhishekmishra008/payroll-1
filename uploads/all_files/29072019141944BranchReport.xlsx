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tables/table12.xml" ContentType="application/vnd.openxmlformats-officedocument.spreadsheetml.table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tables/table15.xml" ContentType="application/vnd.openxmlformats-officedocument.spreadsheetml.table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Enquiry Analysis of employee-mo" sheetId="1" r:id="rId1"/>
    <sheet name="Office total enquiry evaluation" sheetId="8" r:id="rId2"/>
    <sheet name="% work completed by emply's-mth" sheetId="2" r:id="rId3"/>
    <sheet name="Office overall % of work comple" sheetId="9" r:id="rId4"/>
    <sheet name="Emply's overview of work status" sheetId="3" r:id="rId5"/>
    <sheet name="Office work Status-monthly" sheetId="10" r:id="rId6"/>
    <sheet name="Empl's leave analysis-mthly" sheetId="6" r:id="rId7"/>
    <sheet name="Office leave analysis-mthly" sheetId="7" r:id="rId8"/>
    <sheet name="Emply's course status analysis" sheetId="13" r:id="rId9"/>
    <sheet name="Office overall course status" sheetId="14" r:id="rId10"/>
  </sheets>
  <calcPr calcId="144525"/>
</workbook>
</file>

<file path=xl/calcChain.xml><?xml version="1.0" encoding="utf-8"?>
<calcChain xmlns="http://schemas.openxmlformats.org/spreadsheetml/2006/main">
  <c r="G4" i="14" l="1"/>
  <c r="F4" i="14"/>
  <c r="C6" i="7" l="1"/>
  <c r="C5" i="7" l="1"/>
  <c r="C4" i="7"/>
  <c r="C7" i="7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E4" i="13"/>
  <c r="E5" i="13"/>
  <c r="G5" i="13" s="1"/>
  <c r="E6" i="13"/>
  <c r="G6" i="13" s="1"/>
  <c r="E7" i="13"/>
  <c r="G7" i="13" s="1"/>
  <c r="E8" i="13"/>
  <c r="G8" i="13" s="1"/>
  <c r="E9" i="13"/>
  <c r="G9" i="13" s="1"/>
  <c r="E10" i="13"/>
  <c r="G10" i="13" s="1"/>
  <c r="E11" i="13"/>
  <c r="G11" i="13" s="1"/>
  <c r="E12" i="13"/>
  <c r="G12" i="13" s="1"/>
  <c r="E13" i="13"/>
  <c r="G13" i="13" s="1"/>
  <c r="E14" i="13"/>
  <c r="G14" i="13" s="1"/>
  <c r="E15" i="13"/>
  <c r="G15" i="13" s="1"/>
  <c r="E16" i="13"/>
  <c r="G16" i="13" s="1"/>
  <c r="E17" i="13"/>
  <c r="G17" i="13" s="1"/>
  <c r="E18" i="13"/>
  <c r="G18" i="13" s="1"/>
  <c r="E19" i="13"/>
  <c r="G19" i="13" s="1"/>
  <c r="E20" i="13"/>
  <c r="G20" i="13" s="1"/>
  <c r="E21" i="13"/>
  <c r="G21" i="13" s="1"/>
  <c r="E22" i="13"/>
  <c r="G22" i="13" s="1"/>
  <c r="E23" i="13"/>
  <c r="G23" i="13" s="1"/>
  <c r="E24" i="13"/>
  <c r="G24" i="13" s="1"/>
  <c r="E25" i="13"/>
  <c r="G25" i="13" s="1"/>
  <c r="E26" i="13"/>
  <c r="G26" i="13" s="1"/>
  <c r="E27" i="13"/>
  <c r="G27" i="13" s="1"/>
  <c r="E28" i="13"/>
  <c r="G28" i="13" s="1"/>
  <c r="E29" i="13"/>
  <c r="G29" i="13" s="1"/>
  <c r="C8" i="7" l="1"/>
  <c r="G4" i="13"/>
  <c r="D4" i="7"/>
  <c r="D6" i="7"/>
  <c r="D7" i="7"/>
  <c r="D5" i="7"/>
  <c r="R5" i="3" l="1"/>
  <c r="R6" i="3"/>
  <c r="R7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Q5" i="3"/>
  <c r="Q6" i="3"/>
  <c r="Q7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P5" i="3"/>
  <c r="P6" i="3"/>
  <c r="P7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3" i="3"/>
  <c r="I24" i="3"/>
  <c r="I25" i="3"/>
  <c r="I26" i="3"/>
  <c r="I27" i="3"/>
  <c r="I28" i="3"/>
  <c r="I29" i="3"/>
  <c r="I30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G23" i="3" l="1"/>
  <c r="G28" i="3"/>
  <c r="G18" i="3"/>
  <c r="G30" i="3"/>
  <c r="G24" i="3"/>
  <c r="G5" i="3"/>
  <c r="G7" i="3"/>
  <c r="G20" i="3"/>
  <c r="G13" i="3"/>
  <c r="G12" i="3"/>
  <c r="G27" i="3"/>
  <c r="G8" i="3"/>
  <c r="G16" i="3"/>
  <c r="G26" i="3"/>
  <c r="G19" i="3"/>
  <c r="G21" i="3"/>
  <c r="G15" i="3"/>
  <c r="G11" i="3"/>
  <c r="G17" i="3"/>
  <c r="G14" i="3"/>
  <c r="G6" i="3"/>
  <c r="G25" i="3"/>
  <c r="G10" i="3"/>
  <c r="G9" i="3"/>
  <c r="G29" i="3"/>
</calcChain>
</file>

<file path=xl/sharedStrings.xml><?xml version="1.0" encoding="utf-8"?>
<sst xmlns="http://schemas.openxmlformats.org/spreadsheetml/2006/main" count="334" uniqueCount="100">
  <si>
    <t>Employee name</t>
  </si>
  <si>
    <t>Enquiry received</t>
  </si>
  <si>
    <t>A</t>
  </si>
  <si>
    <t>B</t>
  </si>
  <si>
    <t>C</t>
  </si>
  <si>
    <t>D</t>
  </si>
  <si>
    <t>E</t>
  </si>
  <si>
    <t>F</t>
  </si>
  <si>
    <t>Employee Name</t>
  </si>
  <si>
    <t>Due-date tasks alloted</t>
  </si>
  <si>
    <t>Project Assignment Alloted</t>
  </si>
  <si>
    <t>Completed Due-date tasks</t>
  </si>
  <si>
    <t>Completed Project Assignments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</si>
  <si>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</si>
  <si>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</si>
  <si>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</si>
  <si>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</si>
  <si>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</si>
  <si>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</si>
  <si>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</si>
  <si>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</si>
  <si>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</si>
  <si>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</si>
  <si>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</si>
  <si>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</si>
  <si>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</si>
  <si>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</si>
  <si>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</si>
  <si>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</si>
  <si>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</si>
  <si>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</si>
  <si>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</si>
  <si>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</si>
  <si>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Remaining</t>
  </si>
  <si>
    <t>Remaining2</t>
  </si>
  <si>
    <t>% of work completed</t>
  </si>
  <si>
    <t>% of work completed2</t>
  </si>
  <si>
    <t>Employee Name2</t>
  </si>
  <si>
    <t>Enquiry Converted</t>
  </si>
  <si>
    <t>Difference</t>
  </si>
  <si>
    <t>Win rate</t>
  </si>
  <si>
    <t>Total</t>
  </si>
  <si>
    <t>Initiated</t>
  </si>
  <si>
    <t>Completed</t>
  </si>
  <si>
    <t>Ratio Initiated to total</t>
  </si>
  <si>
    <t>Ratio Not-initiated to total tasks</t>
  </si>
  <si>
    <t>Ratio completed to total</t>
  </si>
  <si>
    <t>Project Assignment task</t>
  </si>
  <si>
    <t>Not-Initiated or carry forwarded</t>
  </si>
  <si>
    <t>Leave type</t>
  </si>
  <si>
    <t>Casual Leave</t>
  </si>
  <si>
    <t>Sick Leave</t>
  </si>
  <si>
    <t>Parental Leave</t>
  </si>
  <si>
    <t>Compensatory off</t>
  </si>
  <si>
    <t>Office Name</t>
  </si>
  <si>
    <t>ABC</t>
  </si>
  <si>
    <t xml:space="preserve"> </t>
  </si>
  <si>
    <t>Individual Employee wise status of work - Monthly</t>
  </si>
  <si>
    <t>Ratio of Initiated to total</t>
  </si>
  <si>
    <t>Ratio  of Not-initiated to total tasks</t>
  </si>
  <si>
    <t>Ratio of completed to total</t>
  </si>
  <si>
    <t>Leave Type</t>
  </si>
  <si>
    <t>No. of days</t>
  </si>
  <si>
    <t>Casual</t>
  </si>
  <si>
    <t>Compensatory Leave</t>
  </si>
  <si>
    <t>Courses taken</t>
  </si>
  <si>
    <t>Courses</t>
  </si>
  <si>
    <t>Name of Course</t>
  </si>
  <si>
    <t>Fees of course</t>
  </si>
  <si>
    <t>Affiliated/Not-affiliated</t>
  </si>
  <si>
    <t>GST</t>
  </si>
  <si>
    <t>Income tax</t>
  </si>
  <si>
    <t>Auditing</t>
  </si>
  <si>
    <t>.NET</t>
  </si>
  <si>
    <t>Accounting</t>
  </si>
  <si>
    <t>Not-Affiliated</t>
  </si>
  <si>
    <t>Affiliated</t>
  </si>
  <si>
    <t>Total no. of leave taken</t>
  </si>
  <si>
    <t>Ratio</t>
  </si>
  <si>
    <t>Due-date tasks allotted</t>
  </si>
  <si>
    <t>%ge of work completed analysis of employee-Month wise</t>
  </si>
  <si>
    <t>Office %ge of completed work - Monthly</t>
  </si>
  <si>
    <t>Offfice work status - Monthly</t>
  </si>
  <si>
    <t>Leave Analysis of employees-monthly</t>
  </si>
  <si>
    <t>Office leave analysis-monthly</t>
  </si>
  <si>
    <t>Number of courses taken by employees- monthly overview</t>
  </si>
  <si>
    <t>Completed courses</t>
  </si>
  <si>
    <t>Pending courses</t>
  </si>
  <si>
    <t>Ratio of completed courses to total courses taken</t>
  </si>
  <si>
    <t>Ratio of pending courses to total courses</t>
  </si>
  <si>
    <t>Office overall course status</t>
  </si>
  <si>
    <t>Enquiry analysis - April</t>
  </si>
  <si>
    <t>Office total Enquiry evaluation - April</t>
  </si>
  <si>
    <t>Due-date Task allotted</t>
  </si>
  <si>
    <t>Abbreviation used</t>
  </si>
  <si>
    <t>CL</t>
  </si>
  <si>
    <t>SL</t>
  </si>
  <si>
    <t>PL</t>
  </si>
  <si>
    <t>CO</t>
  </si>
  <si>
    <t>Office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</si>
</sst>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9" fontId="0" fillId="0" borderId="0" xfId="1" applyFont="1"/>
    <xf numFmtId="9" fontId="0" fillId="0" borderId="0" xfId="1" applyFont="1" applyAlignment="1">
      <alignment wrapText="1"/>
    </xf>
    <xf numFmtId="0" fontId="0" fillId="0" borderId="0" xfId="0" applyNumberFormat="1" applyAlignment="1">
      <alignment wrapText="1"/>
    </xf>
    <xf numFmtId="0" fontId="2" fillId="2" borderId="1" xfId="0" applyFont="1" applyFill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wrapText="1"/>
    </xf>
    <xf numFmtId="0" fontId="0" fillId="3" borderId="2" xfId="0" applyFont="1" applyFill="1" applyBorder="1" applyAlignment="1">
      <alignment wrapText="1"/>
    </xf>
    <xf numFmtId="0" fontId="0" fillId="3" borderId="1" xfId="0" applyFont="1" applyFill="1" applyBorder="1"/>
    <xf numFmtId="0" fontId="0" fillId="0" borderId="2" xfId="0" applyFont="1" applyBorder="1" applyAlignment="1">
      <alignment wrapText="1"/>
    </xf>
    <xf numFmtId="0" fontId="0" fillId="0" borderId="1" xfId="0" applyFont="1" applyBorder="1"/>
    <xf numFmtId="1" fontId="0" fillId="0" borderId="0" xfId="0" applyNumberFormat="1"/>
    <xf numFmtId="0" fontId="2" fillId="2" borderId="3" xfId="0" applyFont="1" applyFill="1" applyBorder="1"/>
    <xf numFmtId="0" fontId="2" fillId="2" borderId="1" xfId="0" applyFont="1" applyFill="1" applyBorder="1"/>
    <xf numFmtId="0" fontId="0" fillId="4" borderId="4" xfId="0" applyFont="1" applyFill="1" applyBorder="1" applyAlignment="1">
      <alignment wrapText="1"/>
    </xf>
    <xf numFmtId="0" fontId="0" fillId="4" borderId="4" xfId="0" applyNumberFormat="1" applyFont="1" applyFill="1" applyBorder="1"/>
    <xf numFmtId="0" fontId="0" fillId="4" borderId="4" xfId="0" applyFont="1" applyFill="1" applyBorder="1"/>
    <xf numFmtId="9" fontId="0" fillId="4" borderId="4" xfId="1" applyNumberFormat="1" applyFont="1" applyFill="1" applyBorder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0" formatCode="General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numFmt numFmtId="13" formatCode="0%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numFmt numFmtId="13" formatCode="0%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Employees</a:t>
            </a:r>
            <a:r>
              <a:rPr lang="en-US" baseline="0"/>
              <a:t> Enquiry Analysis-April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9812734082397004"/>
          <c:y val="2.0334059549745823E-2"/>
        </c:manualLayout>
      </c:layout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'Enquiry Analysis of employee-mo'!$C$3</c:f>
              <c:strCache>
                <c:ptCount val="1"/>
                <c:pt idx="0">
                  <c:v>Enquiry received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'Enquiry Analysis of employee-mo'!$B$4:$B$29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'Enquiry Analysis of employee-mo'!$C$4:$C$29</c:f>
              <c:numCache>
                <c:formatCode>General</c:formatCode>
                <c:ptCount val="26"/>
                <c:pt idx="0">
                  <c:v>50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45</c:v>
                </c:pt>
                <c:pt idx="5">
                  <c:v>35</c:v>
                </c:pt>
                <c:pt idx="6">
                  <c:v>33</c:v>
                </c:pt>
                <c:pt idx="7">
                  <c:v>53</c:v>
                </c:pt>
                <c:pt idx="8">
                  <c:v>33</c:v>
                </c:pt>
                <c:pt idx="9">
                  <c:v>19</c:v>
                </c:pt>
                <c:pt idx="10">
                  <c:v>22</c:v>
                </c:pt>
                <c:pt idx="11">
                  <c:v>46</c:v>
                </c:pt>
                <c:pt idx="12">
                  <c:v>5</c:v>
                </c:pt>
                <c:pt idx="13">
                  <c:v>50</c:v>
                </c:pt>
                <c:pt idx="14">
                  <c:v>39</c:v>
                </c:pt>
                <c:pt idx="15">
                  <c:v>10</c:v>
                </c:pt>
                <c:pt idx="16">
                  <c:v>60</c:v>
                </c:pt>
                <c:pt idx="17">
                  <c:v>35</c:v>
                </c:pt>
                <c:pt idx="18">
                  <c:v>26</c:v>
                </c:pt>
                <c:pt idx="19">
                  <c:v>45</c:v>
                </c:pt>
                <c:pt idx="20">
                  <c:v>38</c:v>
                </c:pt>
                <c:pt idx="21">
                  <c:v>66</c:v>
                </c:pt>
                <c:pt idx="22">
                  <c:v>48</c:v>
                </c:pt>
                <c:pt idx="23">
                  <c:v>37</c:v>
                </c:pt>
                <c:pt idx="24">
                  <c:v>26</c:v>
                </c:pt>
                <c:pt idx="25">
                  <c:v>36</c:v>
                </c:pt>
              </c:numCache>
            </c:numRef>
          </c:val>
        </c:ser>
        <c:ser>
          <c:idx val="1"/>
          <c:order val="1"/>
          <c:tx>
            <c:strRef>
              <c:f>'Enquiry Analysis of employee-mo'!$D$3</c:f>
              <c:strCache>
                <c:ptCount val="1"/>
                <c:pt idx="0">
                  <c:v>Enquiry Converted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'Enquiry Analysis of employee-mo'!$B$4:$B$29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'Enquiry Analysis of employee-mo'!$D$4:$D$29</c:f>
              <c:numCache>
                <c:formatCode>General</c:formatCode>
                <c:ptCount val="26"/>
                <c:pt idx="0">
                  <c:v>38</c:v>
                </c:pt>
                <c:pt idx="1">
                  <c:v>17</c:v>
                </c:pt>
                <c:pt idx="2">
                  <c:v>31</c:v>
                </c:pt>
                <c:pt idx="3">
                  <c:v>52</c:v>
                </c:pt>
                <c:pt idx="4">
                  <c:v>30</c:v>
                </c:pt>
                <c:pt idx="5">
                  <c:v>33</c:v>
                </c:pt>
                <c:pt idx="6">
                  <c:v>20</c:v>
                </c:pt>
                <c:pt idx="7">
                  <c:v>44</c:v>
                </c:pt>
                <c:pt idx="8">
                  <c:v>30</c:v>
                </c:pt>
                <c:pt idx="9">
                  <c:v>14</c:v>
                </c:pt>
                <c:pt idx="10">
                  <c:v>16</c:v>
                </c:pt>
                <c:pt idx="11">
                  <c:v>45</c:v>
                </c:pt>
                <c:pt idx="12">
                  <c:v>4</c:v>
                </c:pt>
                <c:pt idx="13">
                  <c:v>49</c:v>
                </c:pt>
                <c:pt idx="14">
                  <c:v>37</c:v>
                </c:pt>
                <c:pt idx="15">
                  <c:v>7</c:v>
                </c:pt>
                <c:pt idx="16">
                  <c:v>30</c:v>
                </c:pt>
                <c:pt idx="17">
                  <c:v>28</c:v>
                </c:pt>
                <c:pt idx="18">
                  <c:v>24</c:v>
                </c:pt>
                <c:pt idx="19">
                  <c:v>43</c:v>
                </c:pt>
                <c:pt idx="20">
                  <c:v>32</c:v>
                </c:pt>
                <c:pt idx="21">
                  <c:v>50</c:v>
                </c:pt>
                <c:pt idx="22">
                  <c:v>41</c:v>
                </c:pt>
                <c:pt idx="23">
                  <c:v>35</c:v>
                </c:pt>
                <c:pt idx="24">
                  <c:v>15</c:v>
                </c:pt>
                <c:pt idx="25">
                  <c:v>25</c:v>
                </c:pt>
              </c:numCache>
            </c:numRef>
          </c:val>
        </c:ser>
        <c:ser>
          <c:idx val="2"/>
          <c:order val="2"/>
          <c:tx>
            <c:strRef>
              <c:f>'Enquiry Analysis of employee-mo'!$E$3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'Enquiry Analysis of employee-mo'!$B$4:$B$29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'Enquiry Analysis of employee-mo'!$E$4:$E$29</c:f>
              <c:numCache>
                <c:formatCode>General</c:formatCode>
                <c:ptCount val="26"/>
                <c:pt idx="0">
                  <c:v>12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15</c:v>
                </c:pt>
                <c:pt idx="5">
                  <c:v>2</c:v>
                </c:pt>
                <c:pt idx="6">
                  <c:v>13</c:v>
                </c:pt>
                <c:pt idx="7">
                  <c:v>9</c:v>
                </c:pt>
                <c:pt idx="8">
                  <c:v>3</c:v>
                </c:pt>
                <c:pt idx="9">
                  <c:v>5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30</c:v>
                </c:pt>
                <c:pt idx="17">
                  <c:v>7</c:v>
                </c:pt>
                <c:pt idx="18">
                  <c:v>2</c:v>
                </c:pt>
                <c:pt idx="19">
                  <c:v>2</c:v>
                </c:pt>
                <c:pt idx="20">
                  <c:v>6</c:v>
                </c:pt>
                <c:pt idx="21">
                  <c:v>16</c:v>
                </c:pt>
                <c:pt idx="22">
                  <c:v>7</c:v>
                </c:pt>
                <c:pt idx="23">
                  <c:v>2</c:v>
                </c:pt>
                <c:pt idx="24">
                  <c:v>11</c:v>
                </c:pt>
                <c:pt idx="25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3568768"/>
        <c:axId val="323570688"/>
      </c:barChart>
      <c:lineChart>
        <c:grouping val="stacked"/>
        <c:varyColors val="0"/>
        <c:ser>
          <c:idx val="3"/>
          <c:order val="3"/>
          <c:tx>
            <c:strRef>
              <c:f>'Enquiry Analysis of employee-mo'!$F$3</c:f>
              <c:strCache>
                <c:ptCount val="1"/>
                <c:pt idx="0">
                  <c:v>Win rate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'Enquiry Analysis of employee-mo'!$B$4:$B$29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'Enquiry Analysis of employee-mo'!$F$4:$F$29</c:f>
              <c:numCache>
                <c:formatCode>0%</c:formatCode>
                <c:ptCount val="26"/>
                <c:pt idx="0">
                  <c:v>0.76</c:v>
                </c:pt>
                <c:pt idx="1">
                  <c:v>0.85</c:v>
                </c:pt>
                <c:pt idx="2">
                  <c:v>0.77500000000000002</c:v>
                </c:pt>
                <c:pt idx="3">
                  <c:v>0.8666666666666667</c:v>
                </c:pt>
                <c:pt idx="4">
                  <c:v>0.66666666666666663</c:v>
                </c:pt>
                <c:pt idx="5">
                  <c:v>0.94285714285714284</c:v>
                </c:pt>
                <c:pt idx="6">
                  <c:v>0.60606060606060608</c:v>
                </c:pt>
                <c:pt idx="7">
                  <c:v>0.83018867924528306</c:v>
                </c:pt>
                <c:pt idx="8">
                  <c:v>0.90909090909090906</c:v>
                </c:pt>
                <c:pt idx="9">
                  <c:v>0.73684210526315785</c:v>
                </c:pt>
                <c:pt idx="10">
                  <c:v>0.72727272727272729</c:v>
                </c:pt>
                <c:pt idx="11">
                  <c:v>0.97826086956521741</c:v>
                </c:pt>
                <c:pt idx="12">
                  <c:v>0.8</c:v>
                </c:pt>
                <c:pt idx="13">
                  <c:v>0.98</c:v>
                </c:pt>
                <c:pt idx="14">
                  <c:v>0.94871794871794868</c:v>
                </c:pt>
                <c:pt idx="15">
                  <c:v>0.7</c:v>
                </c:pt>
                <c:pt idx="16">
                  <c:v>0.5</c:v>
                </c:pt>
                <c:pt idx="17">
                  <c:v>0.8</c:v>
                </c:pt>
                <c:pt idx="18">
                  <c:v>0.92307692307692313</c:v>
                </c:pt>
                <c:pt idx="19">
                  <c:v>0.9555555555555556</c:v>
                </c:pt>
                <c:pt idx="20">
                  <c:v>0.84210526315789469</c:v>
                </c:pt>
                <c:pt idx="21">
                  <c:v>0.75757575757575757</c:v>
                </c:pt>
                <c:pt idx="22">
                  <c:v>0.85416666666666663</c:v>
                </c:pt>
                <c:pt idx="23">
                  <c:v>0.94594594594594594</c:v>
                </c:pt>
                <c:pt idx="24">
                  <c:v>0.57692307692307687</c:v>
                </c:pt>
                <c:pt idx="25">
                  <c:v>0.69444444444444442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568768"/>
        <c:axId val="323570688"/>
      </c:lineChart>
      <c:catAx>
        <c:axId val="32356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 Names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23570688"/>
        <c:crosses val="autoZero"/>
        <c:auto val="1"/>
        <c:lblAlgn val="ctr"/>
        <c:lblOffset val="100"/>
        <c:noMultiLvlLbl val="0"/>
      </c:catAx>
      <c:valAx>
        <c:axId val="3235706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Win Rate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323568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Office total Enquiry Evaluation-April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total enquiry evaluation'!$C$3</c:f>
              <c:strCache>
                <c:ptCount val="1"/>
                <c:pt idx="0">
                  <c:v>Enquiry received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total enquiry evaluation'!$B$4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total enquiry evaluation'!$C$4</c:f>
              <c:numCache>
                <c:formatCode>General</c:formatCode>
                <c:ptCount val="1"/>
                <c:pt idx="0">
                  <c:v>977</c:v>
                </c:pt>
              </c:numCache>
            </c:numRef>
          </c:val>
        </c:ser>
        <c:ser>
          <c:idx val="1"/>
          <c:order val="1"/>
          <c:tx>
            <c:strRef>
              <c:f>'Office total enquiry evaluation'!$D$3</c:f>
              <c:strCache>
                <c:ptCount val="1"/>
                <c:pt idx="0">
                  <c:v>Enquiry Converted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total enquiry evaluation'!$B$4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total enquiry evaluation'!$D$4</c:f>
              <c:numCache>
                <c:formatCode>General</c:formatCode>
                <c:ptCount val="1"/>
                <c:pt idx="0">
                  <c:v>790</c:v>
                </c:pt>
              </c:numCache>
            </c:numRef>
          </c:val>
        </c:ser>
        <c:ser>
          <c:idx val="2"/>
          <c:order val="2"/>
          <c:tx>
            <c:strRef>
              <c:f>'Office total enquiry evaluation'!$E$3</c:f>
              <c:strCache>
                <c:ptCount val="1"/>
                <c:pt idx="0">
                  <c:v>Difference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total enquiry evaluation'!$B$4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total enquiry evaluation'!$E$4</c:f>
              <c:numCache>
                <c:formatCode>General</c:formatCode>
                <c:ptCount val="1"/>
                <c:pt idx="0">
                  <c:v>187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3883776"/>
        <c:axId val="323885696"/>
      </c:barChart>
      <c:scatterChart>
        <c:scatterStyle val="smoothMarker"/>
        <c:varyColors val="0"/>
        <c:ser>
          <c:idx val="3"/>
          <c:order val="3"/>
          <c:tx>
            <c:strRef>
              <c:f>'Office total enquiry evaluation'!$F$3</c:f>
              <c:strCache>
                <c:ptCount val="1"/>
                <c:pt idx="0">
                  <c:v>Win rate</c:v>
                </c:pt>
              </c:strCache>
            </c:strRef>
          </c:tx>
          <c:marker>
            <c:symbol val="triangle"/>
            <c:size val="7"/>
          </c:marker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strRef>
              <c:f>'Office total enquiry evaluation'!$B$4</c:f>
              <c:strCache>
                <c:ptCount val="1"/>
                <c:pt idx="0">
                  <c:v>ABC</c:v>
                </c:pt>
              </c:strCache>
            </c:strRef>
          </c:xVal>
          <c:yVal>
            <c:numRef>
              <c:f>'Office total enquiry evaluation'!$F$4</c:f>
              <c:numCache>
                <c:formatCode>0%</c:formatCode>
                <c:ptCount val="1"/>
                <c:pt idx="0">
                  <c:v>0.80859774820880248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883776"/>
        <c:axId val="323885696"/>
      </c:scatterChart>
      <c:catAx>
        <c:axId val="323883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Office name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23885696"/>
        <c:crosses val="autoZero"/>
        <c:auto val="1"/>
        <c:lblAlgn val="ctr"/>
        <c:lblOffset val="100"/>
        <c:noMultiLvlLbl val="0"/>
      </c:catAx>
      <c:valAx>
        <c:axId val="323885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323883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%ge</a:t>
            </a:r>
            <a:r>
              <a:rPr lang="en-US" baseline="0"/>
              <a:t> of due-date task completed by employees- April</a:t>
            </a:r>
            <a:endParaRPr lang="en-US"/>
          </a:p>
        </c:rich>
      </c:tx>
      <c:layout>
        <c:manualLayout>
          <c:xMode val="edge"/>
          <c:yMode val="edge"/>
          <c:x val="0.13486004758346062"/>
          <c:y val="1.377410169538585E-2"/>
        </c:manualLayout>
      </c:layout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'% work completed by emply''s-mth'!$C$3</c:f>
              <c:strCache>
                <c:ptCount val="1"/>
                <c:pt idx="0">
                  <c:v>Due-date tasks allotted</c:v>
                </c:pt>
              </c:strCache>
            </c:strRef>
          </c:tx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ctr"/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'% work completed by emply''s-mth'!$B$4:$B$29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'% work completed by emply''s-mth'!$C$4:$C$29</c:f>
              <c:numCache>
                <c:formatCode>General</c:formatCode>
                <c:ptCount val="26"/>
                <c:pt idx="0">
                  <c:v>29</c:v>
                </c:pt>
                <c:pt idx="1">
                  <c:v>14</c:v>
                </c:pt>
                <c:pt idx="2">
                  <c:v>8</c:v>
                </c:pt>
                <c:pt idx="3">
                  <c:v>15</c:v>
                </c:pt>
                <c:pt idx="4">
                  <c:v>23</c:v>
                </c:pt>
                <c:pt idx="5">
                  <c:v>15</c:v>
                </c:pt>
                <c:pt idx="6">
                  <c:v>20</c:v>
                </c:pt>
                <c:pt idx="7">
                  <c:v>1</c:v>
                </c:pt>
                <c:pt idx="8">
                  <c:v>23</c:v>
                </c:pt>
                <c:pt idx="9">
                  <c:v>18</c:v>
                </c:pt>
                <c:pt idx="10">
                  <c:v>22</c:v>
                </c:pt>
                <c:pt idx="11">
                  <c:v>11</c:v>
                </c:pt>
                <c:pt idx="12">
                  <c:v>14</c:v>
                </c:pt>
                <c:pt idx="13">
                  <c:v>21</c:v>
                </c:pt>
                <c:pt idx="14">
                  <c:v>19</c:v>
                </c:pt>
                <c:pt idx="15">
                  <c:v>11</c:v>
                </c:pt>
                <c:pt idx="16">
                  <c:v>19</c:v>
                </c:pt>
                <c:pt idx="17">
                  <c:v>0</c:v>
                </c:pt>
                <c:pt idx="18">
                  <c:v>4</c:v>
                </c:pt>
                <c:pt idx="19">
                  <c:v>28</c:v>
                </c:pt>
                <c:pt idx="20">
                  <c:v>23</c:v>
                </c:pt>
                <c:pt idx="21">
                  <c:v>4</c:v>
                </c:pt>
                <c:pt idx="22">
                  <c:v>23</c:v>
                </c:pt>
                <c:pt idx="23">
                  <c:v>16</c:v>
                </c:pt>
                <c:pt idx="24">
                  <c:v>19</c:v>
                </c:pt>
                <c:pt idx="25">
                  <c:v>22</c:v>
                </c:pt>
              </c:numCache>
            </c:numRef>
          </c:val>
        </c:ser>
        <c:ser>
          <c:idx val="1"/>
          <c:order val="1"/>
          <c:tx>
            <c:strRef>
              <c:f>'% work completed by emply''s-mth'!$D$3</c:f>
              <c:strCache>
                <c:ptCount val="1"/>
                <c:pt idx="0">
                  <c:v>Completed Due-date tasks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'% work completed by emply''s-mth'!$B$4:$B$29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'% work completed by emply''s-mth'!$D$4:$D$29</c:f>
              <c:numCache>
                <c:formatCode>General</c:formatCode>
                <c:ptCount val="26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3</c:v>
                </c:pt>
                <c:pt idx="5">
                  <c:v>5</c:v>
                </c:pt>
                <c:pt idx="6">
                  <c:v>10</c:v>
                </c:pt>
                <c:pt idx="7">
                  <c:v>0</c:v>
                </c:pt>
                <c:pt idx="8">
                  <c:v>7</c:v>
                </c:pt>
                <c:pt idx="9">
                  <c:v>10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15</c:v>
                </c:pt>
                <c:pt idx="14">
                  <c:v>10</c:v>
                </c:pt>
                <c:pt idx="15">
                  <c:v>6</c:v>
                </c:pt>
                <c:pt idx="16">
                  <c:v>19</c:v>
                </c:pt>
                <c:pt idx="17">
                  <c:v>0</c:v>
                </c:pt>
                <c:pt idx="18">
                  <c:v>2</c:v>
                </c:pt>
                <c:pt idx="19">
                  <c:v>20</c:v>
                </c:pt>
                <c:pt idx="20">
                  <c:v>20</c:v>
                </c:pt>
                <c:pt idx="21">
                  <c:v>3</c:v>
                </c:pt>
                <c:pt idx="22">
                  <c:v>16</c:v>
                </c:pt>
                <c:pt idx="23">
                  <c:v>15</c:v>
                </c:pt>
                <c:pt idx="24">
                  <c:v>11</c:v>
                </c:pt>
                <c:pt idx="25">
                  <c:v>20</c:v>
                </c:pt>
              </c:numCache>
            </c:numRef>
          </c:val>
        </c:ser>
        <c:ser>
          <c:idx val="2"/>
          <c:order val="2"/>
          <c:tx>
            <c:strRef>
              <c:f>'% work completed by emply''s-mth'!$E$3</c:f>
              <c:strCache>
                <c:ptCount val="1"/>
                <c:pt idx="0">
                  <c:v>Remaining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'% work completed by emply''s-mth'!$B$4:$B$29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'% work completed by emply''s-mth'!$E$4:$E$29</c:f>
              <c:numCache>
                <c:formatCode>General</c:formatCode>
                <c:ptCount val="26"/>
                <c:pt idx="0">
                  <c:v>25</c:v>
                </c:pt>
                <c:pt idx="1">
                  <c:v>9</c:v>
                </c:pt>
                <c:pt idx="2">
                  <c:v>1</c:v>
                </c:pt>
                <c:pt idx="3">
                  <c:v>7</c:v>
                </c:pt>
                <c:pt idx="4">
                  <c:v>20</c:v>
                </c:pt>
                <c:pt idx="5">
                  <c:v>10</c:v>
                </c:pt>
                <c:pt idx="6">
                  <c:v>10</c:v>
                </c:pt>
                <c:pt idx="7">
                  <c:v>1</c:v>
                </c:pt>
                <c:pt idx="8">
                  <c:v>16</c:v>
                </c:pt>
                <c:pt idx="9">
                  <c:v>8</c:v>
                </c:pt>
                <c:pt idx="10">
                  <c:v>16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9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8</c:v>
                </c:pt>
                <c:pt idx="20">
                  <c:v>3</c:v>
                </c:pt>
                <c:pt idx="21">
                  <c:v>1</c:v>
                </c:pt>
                <c:pt idx="22">
                  <c:v>7</c:v>
                </c:pt>
                <c:pt idx="23">
                  <c:v>1</c:v>
                </c:pt>
                <c:pt idx="24">
                  <c:v>8</c:v>
                </c:pt>
                <c:pt idx="25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366336"/>
        <c:axId val="324368256"/>
      </c:barChart>
      <c:lineChart>
        <c:grouping val="standard"/>
        <c:varyColors val="0"/>
        <c:ser>
          <c:idx val="3"/>
          <c:order val="3"/>
          <c:tx>
            <c:strRef>
              <c:f>'% work completed by emply''s-mth'!$F$3</c:f>
              <c:strCache>
                <c:ptCount val="1"/>
                <c:pt idx="0">
                  <c:v>% of work completed</c:v>
                </c:pt>
              </c:strCache>
            </c:strRef>
          </c:tx>
          <c:marker>
            <c:symbol val="none"/>
          </c:marker>
          <c:cat>
            <c:strRef>
              <c:f>'% work completed by emply''s-mth'!$B$4:$B$29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'% work completed by emply''s-mth'!$F$4:$F$29</c:f>
              <c:numCache>
                <c:formatCode>0%</c:formatCode>
                <c:ptCount val="26"/>
                <c:pt idx="0">
                  <c:v>0.13793103448275862</c:v>
                </c:pt>
                <c:pt idx="1">
                  <c:v>0.35714285714285715</c:v>
                </c:pt>
                <c:pt idx="2">
                  <c:v>0.875</c:v>
                </c:pt>
                <c:pt idx="3">
                  <c:v>0.53333333333333333</c:v>
                </c:pt>
                <c:pt idx="4">
                  <c:v>0.13043478260869565</c:v>
                </c:pt>
                <c:pt idx="5">
                  <c:v>0.33333333333333331</c:v>
                </c:pt>
                <c:pt idx="6">
                  <c:v>0.5</c:v>
                </c:pt>
                <c:pt idx="7">
                  <c:v>0</c:v>
                </c:pt>
                <c:pt idx="8">
                  <c:v>0.30434782608695654</c:v>
                </c:pt>
                <c:pt idx="9">
                  <c:v>0.55555555555555558</c:v>
                </c:pt>
                <c:pt idx="10">
                  <c:v>0.27272727272727271</c:v>
                </c:pt>
                <c:pt idx="11">
                  <c:v>0.45454545454545453</c:v>
                </c:pt>
                <c:pt idx="12">
                  <c:v>0.5</c:v>
                </c:pt>
                <c:pt idx="13">
                  <c:v>0.7142857142857143</c:v>
                </c:pt>
                <c:pt idx="14">
                  <c:v>0.52631578947368418</c:v>
                </c:pt>
                <c:pt idx="15">
                  <c:v>0.54545454545454541</c:v>
                </c:pt>
                <c:pt idx="16">
                  <c:v>1</c:v>
                </c:pt>
                <c:pt idx="17">
                  <c:v>0</c:v>
                </c:pt>
                <c:pt idx="18">
                  <c:v>0.5</c:v>
                </c:pt>
                <c:pt idx="19">
                  <c:v>0.7142857142857143</c:v>
                </c:pt>
                <c:pt idx="20">
                  <c:v>0.86956521739130432</c:v>
                </c:pt>
                <c:pt idx="21">
                  <c:v>0.75</c:v>
                </c:pt>
                <c:pt idx="22">
                  <c:v>0.69565217391304346</c:v>
                </c:pt>
                <c:pt idx="23">
                  <c:v>0.9375</c:v>
                </c:pt>
                <c:pt idx="24">
                  <c:v>0.57894736842105265</c:v>
                </c:pt>
                <c:pt idx="25">
                  <c:v>0.90909090909090906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366336"/>
        <c:axId val="324368256"/>
      </c:lineChart>
      <c:catAx>
        <c:axId val="324366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 name</a:t>
                </a:r>
              </a:p>
            </c:rich>
          </c:tx>
          <c:overlay val="0"/>
        </c:title>
        <c:majorTickMark val="out"/>
        <c:minorTickMark val="none"/>
        <c:tickLblPos val="nextTo"/>
        <c:crossAx val="324368256"/>
        <c:crosses val="autoZero"/>
        <c:auto val="1"/>
        <c:lblAlgn val="ctr"/>
        <c:lblOffset val="100"/>
        <c:noMultiLvlLbl val="0"/>
      </c:catAx>
      <c:valAx>
        <c:axId val="324368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og work completed</a:t>
                </a:r>
              </a:p>
            </c:rich>
          </c:tx>
          <c:layout>
            <c:manualLayout>
              <c:xMode val="edge"/>
              <c:yMode val="edge"/>
              <c:x val="2.0174232003668042E-2"/>
              <c:y val="0.43402324591153202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crossAx val="324366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%ge of project ass. task</a:t>
            </a:r>
            <a:r>
              <a:rPr lang="en-US" baseline="0"/>
              <a:t> completed by employees-April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'% work completed by emply''s-mth'!$H$3</c:f>
              <c:strCache>
                <c:ptCount val="1"/>
                <c:pt idx="0">
                  <c:v>Project Assignment Alloted</c:v>
                </c:pt>
              </c:strCache>
            </c:strRef>
          </c:tx>
          <c:invertIfNegative val="0"/>
          <c:cat>
            <c:strRef>
              <c:f>'% work completed by emply''s-mth'!$G$4:$G$29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'% work completed by emply''s-mth'!$H$4:$H$29</c:f>
              <c:numCache>
                <c:formatCode>General</c:formatCode>
                <c:ptCount val="26"/>
                <c:pt idx="0">
                  <c:v>11</c:v>
                </c:pt>
                <c:pt idx="1">
                  <c:v>25</c:v>
                </c:pt>
                <c:pt idx="2">
                  <c:v>6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27</c:v>
                </c:pt>
                <c:pt idx="7">
                  <c:v>4</c:v>
                </c:pt>
                <c:pt idx="8">
                  <c:v>25</c:v>
                </c:pt>
                <c:pt idx="9">
                  <c:v>18</c:v>
                </c:pt>
                <c:pt idx="10">
                  <c:v>28</c:v>
                </c:pt>
                <c:pt idx="11">
                  <c:v>2</c:v>
                </c:pt>
                <c:pt idx="12">
                  <c:v>22</c:v>
                </c:pt>
                <c:pt idx="13">
                  <c:v>27</c:v>
                </c:pt>
                <c:pt idx="14">
                  <c:v>11</c:v>
                </c:pt>
                <c:pt idx="15">
                  <c:v>1</c:v>
                </c:pt>
                <c:pt idx="16">
                  <c:v>9</c:v>
                </c:pt>
                <c:pt idx="17">
                  <c:v>8</c:v>
                </c:pt>
                <c:pt idx="18">
                  <c:v>22</c:v>
                </c:pt>
                <c:pt idx="19">
                  <c:v>6</c:v>
                </c:pt>
                <c:pt idx="20">
                  <c:v>16</c:v>
                </c:pt>
                <c:pt idx="21">
                  <c:v>19</c:v>
                </c:pt>
                <c:pt idx="22">
                  <c:v>16</c:v>
                </c:pt>
                <c:pt idx="23">
                  <c:v>14</c:v>
                </c:pt>
                <c:pt idx="24">
                  <c:v>11</c:v>
                </c:pt>
                <c:pt idx="25">
                  <c:v>15</c:v>
                </c:pt>
              </c:numCache>
            </c:numRef>
          </c:val>
        </c:ser>
        <c:ser>
          <c:idx val="1"/>
          <c:order val="1"/>
          <c:tx>
            <c:strRef>
              <c:f>'% work completed by emply''s-mth'!$I$3</c:f>
              <c:strCache>
                <c:ptCount val="1"/>
                <c:pt idx="0">
                  <c:v>Completed Project Assignments</c:v>
                </c:pt>
              </c:strCache>
            </c:strRef>
          </c:tx>
          <c:invertIfNegative val="0"/>
          <c:cat>
            <c:strRef>
              <c:f>'% work completed by emply''s-mth'!$G$4:$G$29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'% work completed by emply''s-mth'!$I$4:$I$29</c:f>
              <c:numCache>
                <c:formatCode>General</c:formatCode>
                <c:ptCount val="26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20</c:v>
                </c:pt>
                <c:pt idx="7">
                  <c:v>2</c:v>
                </c:pt>
                <c:pt idx="8">
                  <c:v>15</c:v>
                </c:pt>
                <c:pt idx="9">
                  <c:v>0</c:v>
                </c:pt>
                <c:pt idx="10">
                  <c:v>8</c:v>
                </c:pt>
                <c:pt idx="11">
                  <c:v>1</c:v>
                </c:pt>
                <c:pt idx="12">
                  <c:v>18</c:v>
                </c:pt>
                <c:pt idx="13">
                  <c:v>7</c:v>
                </c:pt>
                <c:pt idx="14">
                  <c:v>10</c:v>
                </c:pt>
                <c:pt idx="15">
                  <c:v>0</c:v>
                </c:pt>
                <c:pt idx="16">
                  <c:v>4</c:v>
                </c:pt>
                <c:pt idx="17">
                  <c:v>8</c:v>
                </c:pt>
                <c:pt idx="18">
                  <c:v>19</c:v>
                </c:pt>
                <c:pt idx="19">
                  <c:v>4</c:v>
                </c:pt>
                <c:pt idx="20">
                  <c:v>10</c:v>
                </c:pt>
                <c:pt idx="21">
                  <c:v>9</c:v>
                </c:pt>
                <c:pt idx="22">
                  <c:v>10</c:v>
                </c:pt>
                <c:pt idx="23">
                  <c:v>13</c:v>
                </c:pt>
                <c:pt idx="24">
                  <c:v>8</c:v>
                </c:pt>
                <c:pt idx="25">
                  <c:v>6</c:v>
                </c:pt>
              </c:numCache>
            </c:numRef>
          </c:val>
        </c:ser>
        <c:ser>
          <c:idx val="2"/>
          <c:order val="2"/>
          <c:tx>
            <c:strRef>
              <c:f>'% work completed by emply''s-mth'!$J$3</c:f>
              <c:strCache>
                <c:ptCount val="1"/>
                <c:pt idx="0">
                  <c:v>Remaining2</c:v>
                </c:pt>
              </c:strCache>
            </c:strRef>
          </c:tx>
          <c:invertIfNegative val="0"/>
          <c:cat>
            <c:strRef>
              <c:f>'% work completed by emply''s-mth'!$G$4:$G$29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'% work completed by emply''s-mth'!$J$4:$J$29</c:f>
              <c:numCache>
                <c:formatCode>General</c:formatCode>
                <c:ptCount val="26"/>
                <c:pt idx="0">
                  <c:v>5</c:v>
                </c:pt>
                <c:pt idx="1">
                  <c:v>19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2</c:v>
                </c:pt>
                <c:pt idx="8">
                  <c:v>10</c:v>
                </c:pt>
                <c:pt idx="9">
                  <c:v>18</c:v>
                </c:pt>
                <c:pt idx="10">
                  <c:v>20</c:v>
                </c:pt>
                <c:pt idx="11">
                  <c:v>1</c:v>
                </c:pt>
                <c:pt idx="12">
                  <c:v>4</c:v>
                </c:pt>
                <c:pt idx="13">
                  <c:v>20</c:v>
                </c:pt>
                <c:pt idx="14">
                  <c:v>1</c:v>
                </c:pt>
                <c:pt idx="15">
                  <c:v>1</c:v>
                </c:pt>
                <c:pt idx="16">
                  <c:v>5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6</c:v>
                </c:pt>
                <c:pt idx="21">
                  <c:v>10</c:v>
                </c:pt>
                <c:pt idx="22">
                  <c:v>6</c:v>
                </c:pt>
                <c:pt idx="23">
                  <c:v>1</c:v>
                </c:pt>
                <c:pt idx="24">
                  <c:v>3</c:v>
                </c:pt>
                <c:pt idx="25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420736"/>
        <c:axId val="324422656"/>
      </c:barChart>
      <c:lineChart>
        <c:grouping val="standard"/>
        <c:varyColors val="0"/>
        <c:ser>
          <c:idx val="3"/>
          <c:order val="3"/>
          <c:tx>
            <c:strRef>
              <c:f>'% work completed by emply''s-mth'!$K$3</c:f>
              <c:strCache>
                <c:ptCount val="1"/>
                <c:pt idx="0">
                  <c:v>% of work completed2</c:v>
                </c:pt>
              </c:strCache>
            </c:strRef>
          </c:tx>
          <c:marker>
            <c:symbol val="none"/>
          </c:marker>
          <c:cat>
            <c:strRef>
              <c:f>'% work completed by emply''s-mth'!$G$4:$G$29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'% work completed by emply''s-mth'!$K$4:$K$29</c:f>
              <c:numCache>
                <c:formatCode>0%</c:formatCode>
                <c:ptCount val="26"/>
                <c:pt idx="0">
                  <c:v>0.54545454545454541</c:v>
                </c:pt>
                <c:pt idx="1">
                  <c:v>0.24</c:v>
                </c:pt>
                <c:pt idx="2">
                  <c:v>0.66666666666666663</c:v>
                </c:pt>
                <c:pt idx="3">
                  <c:v>0</c:v>
                </c:pt>
                <c:pt idx="4">
                  <c:v>0.5</c:v>
                </c:pt>
                <c:pt idx="5">
                  <c:v>0.66666666666666663</c:v>
                </c:pt>
                <c:pt idx="6">
                  <c:v>0.7407407407407407</c:v>
                </c:pt>
                <c:pt idx="7">
                  <c:v>0.5</c:v>
                </c:pt>
                <c:pt idx="8">
                  <c:v>0.6</c:v>
                </c:pt>
                <c:pt idx="9">
                  <c:v>0</c:v>
                </c:pt>
                <c:pt idx="10">
                  <c:v>0.2857142857142857</c:v>
                </c:pt>
                <c:pt idx="11">
                  <c:v>0.5</c:v>
                </c:pt>
                <c:pt idx="12">
                  <c:v>0.81818181818181823</c:v>
                </c:pt>
                <c:pt idx="13">
                  <c:v>0.25925925925925924</c:v>
                </c:pt>
                <c:pt idx="14">
                  <c:v>0.90909090909090906</c:v>
                </c:pt>
                <c:pt idx="15">
                  <c:v>0</c:v>
                </c:pt>
                <c:pt idx="16">
                  <c:v>0.44444444444444442</c:v>
                </c:pt>
                <c:pt idx="17">
                  <c:v>1</c:v>
                </c:pt>
                <c:pt idx="18">
                  <c:v>0.86363636363636365</c:v>
                </c:pt>
                <c:pt idx="19">
                  <c:v>0.66666666666666663</c:v>
                </c:pt>
                <c:pt idx="20">
                  <c:v>0.625</c:v>
                </c:pt>
                <c:pt idx="21">
                  <c:v>0.47368421052631576</c:v>
                </c:pt>
                <c:pt idx="22">
                  <c:v>0.625</c:v>
                </c:pt>
                <c:pt idx="23">
                  <c:v>0.9285714285714286</c:v>
                </c:pt>
                <c:pt idx="24">
                  <c:v>0.72727272727272729</c:v>
                </c:pt>
                <c:pt idx="25">
                  <c:v>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420736"/>
        <c:axId val="324422656"/>
      </c:lineChart>
      <c:catAx>
        <c:axId val="324420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 Name</a:t>
                </a:r>
              </a:p>
            </c:rich>
          </c:tx>
          <c:overlay val="0"/>
        </c:title>
        <c:majorTickMark val="out"/>
        <c:minorTickMark val="none"/>
        <c:tickLblPos val="nextTo"/>
        <c:crossAx val="324422656"/>
        <c:crosses val="autoZero"/>
        <c:auto val="1"/>
        <c:lblAlgn val="ctr"/>
        <c:lblOffset val="100"/>
        <c:noMultiLvlLbl val="0"/>
      </c:catAx>
      <c:valAx>
        <c:axId val="324422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work completed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324420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Office</a:t>
            </a:r>
            <a:r>
              <a:rPr lang="en-US" baseline="0"/>
              <a:t> overall monthly %ge of due-date task completed-April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overall % of work comple'!$C$3</c:f>
              <c:strCache>
                <c:ptCount val="1"/>
                <c:pt idx="0">
                  <c:v>Due-date tasks alloted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overall % of work comple'!$B$4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overall % of work comple'!$C$4</c:f>
              <c:numCache>
                <c:formatCode>General</c:formatCode>
                <c:ptCount val="1"/>
                <c:pt idx="0">
                  <c:v>422</c:v>
                </c:pt>
              </c:numCache>
            </c:numRef>
          </c:val>
        </c:ser>
        <c:ser>
          <c:idx val="1"/>
          <c:order val="1"/>
          <c:tx>
            <c:strRef>
              <c:f>'Office overall % of work comple'!$D$3</c:f>
              <c:strCache>
                <c:ptCount val="1"/>
                <c:pt idx="0">
                  <c:v>Completed Due-date tasks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overall % of work comple'!$B$4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overall % of work comple'!$D$4</c:f>
              <c:numCache>
                <c:formatCode>General</c:formatCode>
                <c:ptCount val="1"/>
                <c:pt idx="0">
                  <c:v>234</c:v>
                </c:pt>
              </c:numCache>
            </c:numRef>
          </c:val>
        </c:ser>
        <c:ser>
          <c:idx val="2"/>
          <c:order val="2"/>
          <c:tx>
            <c:strRef>
              <c:f>'Office overall % of work comple'!$E$3</c:f>
              <c:strCache>
                <c:ptCount val="1"/>
                <c:pt idx="0">
                  <c:v>Remaining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overall % of work comple'!$B$4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overall % of work comple'!$E$4</c:f>
              <c:numCache>
                <c:formatCode>General</c:formatCode>
                <c:ptCount val="1"/>
                <c:pt idx="0">
                  <c:v>188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740224"/>
        <c:axId val="324742144"/>
      </c:barChart>
      <c:scatterChart>
        <c:scatterStyle val="smoothMarker"/>
        <c:varyColors val="0"/>
        <c:ser>
          <c:idx val="3"/>
          <c:order val="3"/>
          <c:tx>
            <c:strRef>
              <c:f>'Office overall % of work comple'!$F$3</c:f>
              <c:strCache>
                <c:ptCount val="1"/>
                <c:pt idx="0">
                  <c:v>% of work completed</c:v>
                </c:pt>
              </c:strCache>
            </c:strRef>
          </c:tx>
          <c:marker>
            <c:symbol val="triangle"/>
            <c:size val="7"/>
          </c:marker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strRef>
              <c:f>'Office overall % of work comple'!$B$4</c:f>
              <c:strCache>
                <c:ptCount val="1"/>
                <c:pt idx="0">
                  <c:v>ABC</c:v>
                </c:pt>
              </c:strCache>
            </c:strRef>
          </c:xVal>
          <c:yVal>
            <c:numRef>
              <c:f>'Office overall % of work comple'!$F$4</c:f>
              <c:numCache>
                <c:formatCode>0%</c:formatCode>
                <c:ptCount val="1"/>
                <c:pt idx="0">
                  <c:v>0.55450236966824595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740224"/>
        <c:axId val="324742144"/>
      </c:scatterChart>
      <c:catAx>
        <c:axId val="32474022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ABC</a:t>
                </a:r>
              </a:p>
            </c:rich>
          </c:tx>
          <c:overlay val="0"/>
        </c:title>
        <c:majorTickMark val="out"/>
        <c:minorTickMark val="none"/>
        <c:tickLblPos val="nextTo"/>
        <c:crossAx val="324742144"/>
        <c:crosses val="autoZero"/>
        <c:auto val="1"/>
        <c:lblAlgn val="ctr"/>
        <c:lblOffset val="100"/>
        <c:noMultiLvlLbl val="0"/>
      </c:catAx>
      <c:valAx>
        <c:axId val="3247421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work completed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324740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Office overall monthly %ge of project ass. Tasks completed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overall % of work comple'!$C$24</c:f>
              <c:strCache>
                <c:ptCount val="1"/>
                <c:pt idx="0">
                  <c:v>Project Assignment Alloted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overall % of work comple'!$B$25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overall % of work comple'!$C$25</c:f>
              <c:numCache>
                <c:formatCode>General</c:formatCode>
                <c:ptCount val="1"/>
                <c:pt idx="0">
                  <c:v>348</c:v>
                </c:pt>
              </c:numCache>
            </c:numRef>
          </c:val>
        </c:ser>
        <c:ser>
          <c:idx val="1"/>
          <c:order val="1"/>
          <c:tx>
            <c:strRef>
              <c:f>'Office overall % of work comple'!$D$24</c:f>
              <c:strCache>
                <c:ptCount val="1"/>
                <c:pt idx="0">
                  <c:v>Completed Project Assignments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overall % of work comple'!$B$25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overall % of work comple'!$D$25</c:f>
              <c:numCache>
                <c:formatCode>General</c:formatCode>
                <c:ptCount val="1"/>
                <c:pt idx="0">
                  <c:v>191</c:v>
                </c:pt>
              </c:numCache>
            </c:numRef>
          </c:val>
        </c:ser>
        <c:ser>
          <c:idx val="2"/>
          <c:order val="2"/>
          <c:tx>
            <c:strRef>
              <c:f>'Office overall % of work comple'!$E$24</c:f>
              <c:strCache>
                <c:ptCount val="1"/>
                <c:pt idx="0">
                  <c:v>Remaining2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overall % of work comple'!$B$25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overall % of work comple'!$E$25</c:f>
              <c:numCache>
                <c:formatCode>General</c:formatCode>
                <c:ptCount val="1"/>
                <c:pt idx="0">
                  <c:v>157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792320"/>
        <c:axId val="324793856"/>
      </c:barChart>
      <c:scatterChart>
        <c:scatterStyle val="smoothMarker"/>
        <c:varyColors val="0"/>
        <c:ser>
          <c:idx val="3"/>
          <c:order val="3"/>
          <c:tx>
            <c:strRef>
              <c:f>'Office overall % of work comple'!$F$24</c:f>
              <c:strCache>
                <c:ptCount val="1"/>
                <c:pt idx="0">
                  <c:v>% of work completed2</c:v>
                </c:pt>
              </c:strCache>
            </c:strRef>
          </c:tx>
          <c:marker>
            <c:symbol val="triangle"/>
            <c:size val="7"/>
          </c:marker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strRef>
              <c:f>'Office overall % of work comple'!$B$25</c:f>
              <c:strCache>
                <c:ptCount val="1"/>
                <c:pt idx="0">
                  <c:v>ABC</c:v>
                </c:pt>
              </c:strCache>
            </c:strRef>
          </c:xVal>
          <c:yVal>
            <c:numRef>
              <c:f>'Office overall % of work comple'!$F$25</c:f>
              <c:numCache>
                <c:formatCode>0%</c:formatCode>
                <c:ptCount val="1"/>
                <c:pt idx="0">
                  <c:v>0.54885057471264365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792320"/>
        <c:axId val="324793856"/>
      </c:scatterChart>
      <c:catAx>
        <c:axId val="324792320"/>
        <c:scaling>
          <c:orientation val="minMax"/>
        </c:scaling>
        <c:delete val="0"/>
        <c:axPos val="b"/>
        <c:majorTickMark val="out"/>
        <c:minorTickMark val="none"/>
        <c:tickLblPos val="nextTo"/>
        <c:crossAx val="324793856"/>
        <c:crosses val="autoZero"/>
        <c:auto val="1"/>
        <c:lblAlgn val="ctr"/>
        <c:lblOffset val="100"/>
        <c:noMultiLvlLbl val="0"/>
      </c:catAx>
      <c:valAx>
        <c:axId val="324793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work</a:t>
                </a:r>
                <a:r>
                  <a:rPr lang="en-US" baseline="0"/>
                  <a:t> completed</a:t>
                </a:r>
                <a:endParaRPr lang="en-US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324792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Status overview of employees due-date</a:t>
            </a:r>
            <a:r>
              <a:rPr lang="en-US" baseline="0"/>
              <a:t> tasks</a:t>
            </a:r>
            <a:endParaRPr lang="en-US"/>
          </a:p>
        </c:rich>
      </c:tx>
      <c:layout>
        <c:manualLayout>
          <c:xMode val="edge"/>
          <c:yMode val="edge"/>
          <c:x val="9.3400388709800525E-2"/>
          <c:y val="3.614457831325301E-2"/>
        </c:manualLayout>
      </c:layout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'Emply''s overview of work status'!$C$4</c:f>
              <c:strCache>
                <c:ptCount val="1"/>
                <c:pt idx="0">
                  <c:v>Due-date Task allotted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'Emply''s overview of work status'!$B$5:$B$30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status'!$C$5:$C$30</c:f>
              <c:numCache>
                <c:formatCode>General</c:formatCode>
                <c:ptCount val="26"/>
                <c:pt idx="0">
                  <c:v>29</c:v>
                </c:pt>
                <c:pt idx="1">
                  <c:v>14</c:v>
                </c:pt>
                <c:pt idx="2">
                  <c:v>8</c:v>
                </c:pt>
                <c:pt idx="3">
                  <c:v>15</c:v>
                </c:pt>
                <c:pt idx="4">
                  <c:v>23</c:v>
                </c:pt>
                <c:pt idx="5">
                  <c:v>15</c:v>
                </c:pt>
                <c:pt idx="6">
                  <c:v>20</c:v>
                </c:pt>
                <c:pt idx="7">
                  <c:v>1</c:v>
                </c:pt>
                <c:pt idx="8">
                  <c:v>23</c:v>
                </c:pt>
                <c:pt idx="9">
                  <c:v>18</c:v>
                </c:pt>
                <c:pt idx="10">
                  <c:v>22</c:v>
                </c:pt>
                <c:pt idx="11">
                  <c:v>11</c:v>
                </c:pt>
                <c:pt idx="12">
                  <c:v>14</c:v>
                </c:pt>
                <c:pt idx="13">
                  <c:v>21</c:v>
                </c:pt>
                <c:pt idx="14">
                  <c:v>19</c:v>
                </c:pt>
                <c:pt idx="15">
                  <c:v>11</c:v>
                </c:pt>
                <c:pt idx="16">
                  <c:v>19</c:v>
                </c:pt>
                <c:pt idx="17">
                  <c:v>0</c:v>
                </c:pt>
                <c:pt idx="18">
                  <c:v>4</c:v>
                </c:pt>
                <c:pt idx="19">
                  <c:v>28</c:v>
                </c:pt>
                <c:pt idx="20">
                  <c:v>23</c:v>
                </c:pt>
                <c:pt idx="21">
                  <c:v>4</c:v>
                </c:pt>
                <c:pt idx="22">
                  <c:v>23</c:v>
                </c:pt>
                <c:pt idx="23">
                  <c:v>16</c:v>
                </c:pt>
                <c:pt idx="24">
                  <c:v>19</c:v>
                </c:pt>
                <c:pt idx="25">
                  <c:v>22</c:v>
                </c:pt>
              </c:numCache>
            </c:numRef>
          </c:val>
        </c:ser>
        <c:ser>
          <c:idx val="1"/>
          <c:order val="1"/>
          <c:tx>
            <c:strRef>
              <c:f>'Emply''s overview of work status'!$D$4</c:f>
              <c:strCache>
                <c:ptCount val="1"/>
                <c:pt idx="0">
                  <c:v>Initiated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'Emply''s overview of work status'!$B$5:$B$30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status'!$D$5:$D$30</c:f>
              <c:numCache>
                <c:formatCode>General</c:formatCode>
                <c:ptCount val="26"/>
                <c:pt idx="0">
                  <c:v>20</c:v>
                </c:pt>
                <c:pt idx="1">
                  <c:v>8</c:v>
                </c:pt>
                <c:pt idx="2">
                  <c:v>1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  <c:pt idx="6">
                  <c:v>7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9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0</c:v>
                </c:pt>
                <c:pt idx="22">
                  <c:v>4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'Emply''s overview of work status'!$E$4</c:f>
              <c:strCache>
                <c:ptCount val="1"/>
                <c:pt idx="0">
                  <c:v>Not-Initiated or carry forwarded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'Emply''s overview of work status'!$B$5:$B$30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status'!$E$5:$E$30</c:f>
              <c:numCache>
                <c:formatCode>General</c:formatCode>
                <c:ptCount val="26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10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8</c:v>
                </c:pt>
                <c:pt idx="9">
                  <c:v>3</c:v>
                </c:pt>
                <c:pt idx="10">
                  <c:v>7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3</c:v>
                </c:pt>
                <c:pt idx="23">
                  <c:v>0</c:v>
                </c:pt>
                <c:pt idx="24">
                  <c:v>6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'Emply''s overview of work status'!$F$4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'Emply''s overview of work status'!$B$5:$B$30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status'!$F$5:$F$30</c:f>
              <c:numCache>
                <c:formatCode>General</c:formatCode>
                <c:ptCount val="26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3</c:v>
                </c:pt>
                <c:pt idx="5">
                  <c:v>5</c:v>
                </c:pt>
                <c:pt idx="6">
                  <c:v>10</c:v>
                </c:pt>
                <c:pt idx="7">
                  <c:v>0</c:v>
                </c:pt>
                <c:pt idx="8">
                  <c:v>7</c:v>
                </c:pt>
                <c:pt idx="9">
                  <c:v>10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15</c:v>
                </c:pt>
                <c:pt idx="14">
                  <c:v>10</c:v>
                </c:pt>
                <c:pt idx="15">
                  <c:v>6</c:v>
                </c:pt>
                <c:pt idx="16">
                  <c:v>19</c:v>
                </c:pt>
                <c:pt idx="17">
                  <c:v>0</c:v>
                </c:pt>
                <c:pt idx="18">
                  <c:v>2</c:v>
                </c:pt>
                <c:pt idx="19">
                  <c:v>20</c:v>
                </c:pt>
                <c:pt idx="20">
                  <c:v>20</c:v>
                </c:pt>
                <c:pt idx="21">
                  <c:v>3</c:v>
                </c:pt>
                <c:pt idx="22">
                  <c:v>16</c:v>
                </c:pt>
                <c:pt idx="23">
                  <c:v>15</c:v>
                </c:pt>
                <c:pt idx="24">
                  <c:v>11</c:v>
                </c:pt>
                <c:pt idx="25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9833344"/>
        <c:axId val="249847808"/>
      </c:barChart>
      <c:lineChart>
        <c:grouping val="stacked"/>
        <c:varyColors val="0"/>
        <c:ser>
          <c:idx val="4"/>
          <c:order val="4"/>
          <c:tx>
            <c:strRef>
              <c:f>'Emply''s overview of work status'!$G$4</c:f>
              <c:strCache>
                <c:ptCount val="1"/>
                <c:pt idx="0">
                  <c:v>Ratio Initiated to total</c:v>
                </c:pt>
              </c:strCache>
            </c:strRef>
          </c:tx>
          <c:marker>
            <c:symbol val="none"/>
          </c:marker>
          <c:cat>
            <c:strRef>
              <c:f>'Emply''s overview of work status'!$B$5:$B$30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status'!$G$5:$G$30</c:f>
              <c:numCache>
                <c:formatCode>0%</c:formatCode>
                <c:ptCount val="26"/>
                <c:pt idx="0">
                  <c:v>0.68965517241379315</c:v>
                </c:pt>
                <c:pt idx="1">
                  <c:v>0.5714285714285714</c:v>
                </c:pt>
                <c:pt idx="2">
                  <c:v>0.125</c:v>
                </c:pt>
                <c:pt idx="3">
                  <c:v>0.2</c:v>
                </c:pt>
                <c:pt idx="4">
                  <c:v>0.43478260869565216</c:v>
                </c:pt>
                <c:pt idx="5">
                  <c:v>0.4</c:v>
                </c:pt>
                <c:pt idx="6">
                  <c:v>0.35</c:v>
                </c:pt>
                <c:pt idx="7">
                  <c:v>1</c:v>
                </c:pt>
                <c:pt idx="8">
                  <c:v>0.34782608695652173</c:v>
                </c:pt>
                <c:pt idx="9">
                  <c:v>0.27777777777777779</c:v>
                </c:pt>
                <c:pt idx="10">
                  <c:v>0.40909090909090912</c:v>
                </c:pt>
                <c:pt idx="11">
                  <c:v>0.45454545454545453</c:v>
                </c:pt>
                <c:pt idx="12">
                  <c:v>0.2857142857142857</c:v>
                </c:pt>
                <c:pt idx="13">
                  <c:v>0.19047619047619047</c:v>
                </c:pt>
                <c:pt idx="14">
                  <c:v>0.26315789473684209</c:v>
                </c:pt>
                <c:pt idx="15">
                  <c:v>0.27272727272727271</c:v>
                </c:pt>
                <c:pt idx="16">
                  <c:v>0</c:v>
                </c:pt>
                <c:pt idx="17">
                  <c:v>0</c:v>
                </c:pt>
                <c:pt idx="18">
                  <c:v>0.25</c:v>
                </c:pt>
                <c:pt idx="19">
                  <c:v>0.17857142857142858</c:v>
                </c:pt>
                <c:pt idx="20">
                  <c:v>0.13043478260869565</c:v>
                </c:pt>
                <c:pt idx="21">
                  <c:v>0</c:v>
                </c:pt>
                <c:pt idx="22">
                  <c:v>0.17391304347826086</c:v>
                </c:pt>
                <c:pt idx="23">
                  <c:v>6.25E-2</c:v>
                </c:pt>
                <c:pt idx="24">
                  <c:v>0.10526315789473684</c:v>
                </c:pt>
                <c:pt idx="25">
                  <c:v>4.5454545454545456E-2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'Emply''s overview of work status'!$H$4</c:f>
              <c:strCache>
                <c:ptCount val="1"/>
                <c:pt idx="0">
                  <c:v>Ratio Not-initiated to total tasks</c:v>
                </c:pt>
              </c:strCache>
            </c:strRef>
          </c:tx>
          <c:marker>
            <c:symbol val="none"/>
          </c:marker>
          <c:cat>
            <c:strRef>
              <c:f>'Emply''s overview of work status'!$B$5:$B$30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status'!$H$5:$H$30</c:f>
              <c:numCache>
                <c:formatCode>0%</c:formatCode>
                <c:ptCount val="26"/>
                <c:pt idx="0">
                  <c:v>0.17241379310344829</c:v>
                </c:pt>
                <c:pt idx="1">
                  <c:v>7.1428571428571425E-2</c:v>
                </c:pt>
                <c:pt idx="2">
                  <c:v>0</c:v>
                </c:pt>
                <c:pt idx="3">
                  <c:v>0.26666666666666666</c:v>
                </c:pt>
                <c:pt idx="4">
                  <c:v>0.43478260869565216</c:v>
                </c:pt>
                <c:pt idx="5">
                  <c:v>0.26666666666666666</c:v>
                </c:pt>
                <c:pt idx="6">
                  <c:v>0.15</c:v>
                </c:pt>
                <c:pt idx="7">
                  <c:v>0</c:v>
                </c:pt>
                <c:pt idx="8">
                  <c:v>0.34782608695652173</c:v>
                </c:pt>
                <c:pt idx="9">
                  <c:v>0.16666666666666666</c:v>
                </c:pt>
                <c:pt idx="10">
                  <c:v>0.31818181818181818</c:v>
                </c:pt>
                <c:pt idx="11">
                  <c:v>9.0909090909090912E-2</c:v>
                </c:pt>
                <c:pt idx="12">
                  <c:v>0.21428571428571427</c:v>
                </c:pt>
                <c:pt idx="13">
                  <c:v>9.5238095238095233E-2</c:v>
                </c:pt>
                <c:pt idx="14">
                  <c:v>0.21052631578947367</c:v>
                </c:pt>
                <c:pt idx="15">
                  <c:v>0.18181818181818182</c:v>
                </c:pt>
                <c:pt idx="16">
                  <c:v>0</c:v>
                </c:pt>
                <c:pt idx="17">
                  <c:v>0</c:v>
                </c:pt>
                <c:pt idx="18">
                  <c:v>0.25</c:v>
                </c:pt>
                <c:pt idx="19">
                  <c:v>0.10714285714285714</c:v>
                </c:pt>
                <c:pt idx="20">
                  <c:v>0</c:v>
                </c:pt>
                <c:pt idx="21">
                  <c:v>0.25</c:v>
                </c:pt>
                <c:pt idx="22">
                  <c:v>0.13043478260869565</c:v>
                </c:pt>
                <c:pt idx="23">
                  <c:v>0</c:v>
                </c:pt>
                <c:pt idx="24">
                  <c:v>0.31578947368421051</c:v>
                </c:pt>
                <c:pt idx="25">
                  <c:v>4.5454545454545456E-2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'Emply''s overview of work status'!$I$4</c:f>
              <c:strCache>
                <c:ptCount val="1"/>
                <c:pt idx="0">
                  <c:v>Ratio completed to total</c:v>
                </c:pt>
              </c:strCache>
            </c:strRef>
          </c:tx>
          <c:marker>
            <c:symbol val="none"/>
          </c:marker>
          <c:cat>
            <c:strRef>
              <c:f>'Emply''s overview of work status'!$B$5:$B$30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status'!$I$5:$I$30</c:f>
              <c:numCache>
                <c:formatCode>0%</c:formatCode>
                <c:ptCount val="26"/>
                <c:pt idx="0">
                  <c:v>0.13793103448275862</c:v>
                </c:pt>
                <c:pt idx="1">
                  <c:v>0.35714285714285715</c:v>
                </c:pt>
                <c:pt idx="2">
                  <c:v>0.875</c:v>
                </c:pt>
                <c:pt idx="3">
                  <c:v>0.53333333333333333</c:v>
                </c:pt>
                <c:pt idx="4">
                  <c:v>0.13043478260869565</c:v>
                </c:pt>
                <c:pt idx="5">
                  <c:v>0.33333333333333331</c:v>
                </c:pt>
                <c:pt idx="6">
                  <c:v>0.5</c:v>
                </c:pt>
                <c:pt idx="7">
                  <c:v>0</c:v>
                </c:pt>
                <c:pt idx="8">
                  <c:v>0.30434782608695654</c:v>
                </c:pt>
                <c:pt idx="9">
                  <c:v>0.55555555555555558</c:v>
                </c:pt>
                <c:pt idx="10">
                  <c:v>0.27272727272727271</c:v>
                </c:pt>
                <c:pt idx="11">
                  <c:v>0.45454545454545453</c:v>
                </c:pt>
                <c:pt idx="12">
                  <c:v>0.5</c:v>
                </c:pt>
                <c:pt idx="13">
                  <c:v>0.7142857142857143</c:v>
                </c:pt>
                <c:pt idx="14">
                  <c:v>0.52631578947368418</c:v>
                </c:pt>
                <c:pt idx="15">
                  <c:v>0.54545454545454541</c:v>
                </c:pt>
                <c:pt idx="16">
                  <c:v>1</c:v>
                </c:pt>
                <c:pt idx="17">
                  <c:v>0</c:v>
                </c:pt>
                <c:pt idx="18">
                  <c:v>0.5</c:v>
                </c:pt>
                <c:pt idx="19">
                  <c:v>0.7142857142857143</c:v>
                </c:pt>
                <c:pt idx="20">
                  <c:v>0.86956521739130432</c:v>
                </c:pt>
                <c:pt idx="21">
                  <c:v>0.75</c:v>
                </c:pt>
                <c:pt idx="22">
                  <c:v>0.69565217391304346</c:v>
                </c:pt>
                <c:pt idx="23">
                  <c:v>0.9375</c:v>
                </c:pt>
                <c:pt idx="24">
                  <c:v>0.57894736842105265</c:v>
                </c:pt>
                <c:pt idx="25">
                  <c:v>0.90909090909090906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833344"/>
        <c:axId val="249847808"/>
      </c:lineChart>
      <c:catAx>
        <c:axId val="24983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 name</a:t>
                </a:r>
              </a:p>
            </c:rich>
          </c:tx>
          <c:overlay val="0"/>
        </c:title>
        <c:majorTickMark val="out"/>
        <c:minorTickMark val="none"/>
        <c:tickLblPos val="nextTo"/>
        <c:crossAx val="249847808"/>
        <c:crosses val="autoZero"/>
        <c:auto val="1"/>
        <c:lblAlgn val="ctr"/>
        <c:lblOffset val="100"/>
        <c:noMultiLvlLbl val="0"/>
      </c:catAx>
      <c:valAx>
        <c:axId val="249847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</a:t>
                </a:r>
                <a:r>
                  <a:rPr lang="en-US" baseline="0"/>
                  <a:t>ration of tasks initiated, not-initiated and completed w.r.to total task allotted</a:t>
                </a:r>
                <a:endParaRPr lang="en-US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249833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Status overview of employees project ass. Tasks.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'Emply''s overview of work status'!$L$4</c:f>
              <c:strCache>
                <c:ptCount val="1"/>
                <c:pt idx="0">
                  <c:v>Project Assignment task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'Emply''s overview of work status'!$K$5:$K$30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status'!$L$5:$L$30</c:f>
              <c:numCache>
                <c:formatCode>General</c:formatCode>
                <c:ptCount val="26"/>
                <c:pt idx="0">
                  <c:v>11</c:v>
                </c:pt>
                <c:pt idx="1">
                  <c:v>25</c:v>
                </c:pt>
                <c:pt idx="2">
                  <c:v>6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27</c:v>
                </c:pt>
                <c:pt idx="7">
                  <c:v>4</c:v>
                </c:pt>
                <c:pt idx="8">
                  <c:v>25</c:v>
                </c:pt>
                <c:pt idx="9">
                  <c:v>18</c:v>
                </c:pt>
                <c:pt idx="10">
                  <c:v>28</c:v>
                </c:pt>
                <c:pt idx="11">
                  <c:v>2</c:v>
                </c:pt>
                <c:pt idx="12">
                  <c:v>22</c:v>
                </c:pt>
                <c:pt idx="13">
                  <c:v>27</c:v>
                </c:pt>
                <c:pt idx="14">
                  <c:v>11</c:v>
                </c:pt>
                <c:pt idx="15">
                  <c:v>1</c:v>
                </c:pt>
                <c:pt idx="16">
                  <c:v>9</c:v>
                </c:pt>
                <c:pt idx="17">
                  <c:v>8</c:v>
                </c:pt>
                <c:pt idx="18">
                  <c:v>22</c:v>
                </c:pt>
                <c:pt idx="19">
                  <c:v>6</c:v>
                </c:pt>
                <c:pt idx="20">
                  <c:v>16</c:v>
                </c:pt>
                <c:pt idx="21">
                  <c:v>19</c:v>
                </c:pt>
                <c:pt idx="22">
                  <c:v>16</c:v>
                </c:pt>
                <c:pt idx="23">
                  <c:v>14</c:v>
                </c:pt>
                <c:pt idx="24">
                  <c:v>11</c:v>
                </c:pt>
                <c:pt idx="25">
                  <c:v>15</c:v>
                </c:pt>
              </c:numCache>
            </c:numRef>
          </c:val>
        </c:ser>
        <c:ser>
          <c:idx val="1"/>
          <c:order val="1"/>
          <c:tx>
            <c:strRef>
              <c:f>'Emply''s overview of work status'!$M$4</c:f>
              <c:strCache>
                <c:ptCount val="1"/>
                <c:pt idx="0">
                  <c:v>Initiated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'Emply''s overview of work status'!$K$5:$K$30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status'!$M$5:$M$30</c:f>
              <c:numCache>
                <c:formatCode>General</c:formatCode>
                <c:ptCount val="26"/>
                <c:pt idx="0">
                  <c:v>3</c:v>
                </c:pt>
                <c:pt idx="1">
                  <c:v>10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5</c:v>
                </c:pt>
                <c:pt idx="7">
                  <c:v>2</c:v>
                </c:pt>
                <c:pt idx="8">
                  <c:v>5</c:v>
                </c:pt>
                <c:pt idx="9">
                  <c:v>7</c:v>
                </c:pt>
                <c:pt idx="10">
                  <c:v>10</c:v>
                </c:pt>
                <c:pt idx="11">
                  <c:v>1</c:v>
                </c:pt>
                <c:pt idx="12">
                  <c:v>2</c:v>
                </c:pt>
                <c:pt idx="13">
                  <c:v>9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0</c:v>
                </c:pt>
                <c:pt idx="24">
                  <c:v>2</c:v>
                </c:pt>
                <c:pt idx="25">
                  <c:v>3</c:v>
                </c:pt>
              </c:numCache>
            </c:numRef>
          </c:val>
        </c:ser>
        <c:ser>
          <c:idx val="2"/>
          <c:order val="2"/>
          <c:tx>
            <c:strRef>
              <c:f>'Emply''s overview of work status'!$N$4</c:f>
              <c:strCache>
                <c:ptCount val="1"/>
                <c:pt idx="0">
                  <c:v>Not-Initiated or carry forwarded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'Emply''s overview of work status'!$K$5:$K$30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status'!$N$5:$N$30</c:f>
              <c:numCache>
                <c:formatCode>General</c:formatCode>
                <c:ptCount val="26"/>
                <c:pt idx="0">
                  <c:v>2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5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2</c:v>
                </c:pt>
                <c:pt idx="13">
                  <c:v>11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6</c:v>
                </c:pt>
              </c:numCache>
            </c:numRef>
          </c:val>
        </c:ser>
        <c:ser>
          <c:idx val="3"/>
          <c:order val="3"/>
          <c:tx>
            <c:strRef>
              <c:f>'Emply''s overview of work status'!$O$4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'Emply''s overview of work status'!$K$5:$K$30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status'!$O$5:$O$30</c:f>
              <c:numCache>
                <c:formatCode>General</c:formatCode>
                <c:ptCount val="26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20</c:v>
                </c:pt>
                <c:pt idx="7">
                  <c:v>2</c:v>
                </c:pt>
                <c:pt idx="8">
                  <c:v>15</c:v>
                </c:pt>
                <c:pt idx="9">
                  <c:v>0</c:v>
                </c:pt>
                <c:pt idx="10">
                  <c:v>8</c:v>
                </c:pt>
                <c:pt idx="11">
                  <c:v>1</c:v>
                </c:pt>
                <c:pt idx="12">
                  <c:v>18</c:v>
                </c:pt>
                <c:pt idx="13">
                  <c:v>7</c:v>
                </c:pt>
                <c:pt idx="14">
                  <c:v>10</c:v>
                </c:pt>
                <c:pt idx="15">
                  <c:v>0</c:v>
                </c:pt>
                <c:pt idx="16">
                  <c:v>4</c:v>
                </c:pt>
                <c:pt idx="17">
                  <c:v>8</c:v>
                </c:pt>
                <c:pt idx="18">
                  <c:v>19</c:v>
                </c:pt>
                <c:pt idx="19">
                  <c:v>4</c:v>
                </c:pt>
                <c:pt idx="20">
                  <c:v>10</c:v>
                </c:pt>
                <c:pt idx="21">
                  <c:v>9</c:v>
                </c:pt>
                <c:pt idx="22">
                  <c:v>10</c:v>
                </c:pt>
                <c:pt idx="23">
                  <c:v>13</c:v>
                </c:pt>
                <c:pt idx="24">
                  <c:v>8</c:v>
                </c:pt>
                <c:pt idx="25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0035200"/>
        <c:axId val="250053760"/>
      </c:barChart>
      <c:lineChart>
        <c:grouping val="stacked"/>
        <c:varyColors val="0"/>
        <c:ser>
          <c:idx val="4"/>
          <c:order val="4"/>
          <c:tx>
            <c:strRef>
              <c:f>'Emply''s overview of work status'!$P$4</c:f>
              <c:strCache>
                <c:ptCount val="1"/>
                <c:pt idx="0">
                  <c:v>Ratio Initiated to total</c:v>
                </c:pt>
              </c:strCache>
            </c:strRef>
          </c:tx>
          <c:marker>
            <c:symbol val="none"/>
          </c:marker>
          <c:cat>
            <c:strRef>
              <c:f>'Emply''s overview of work status'!$K$5:$K$30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status'!$P$5:$P$30</c:f>
              <c:numCache>
                <c:formatCode>0%</c:formatCode>
                <c:ptCount val="26"/>
                <c:pt idx="0">
                  <c:v>0.27272727272727271</c:v>
                </c:pt>
                <c:pt idx="1">
                  <c:v>0.4</c:v>
                </c:pt>
                <c:pt idx="2">
                  <c:v>0.33333333333333331</c:v>
                </c:pt>
                <c:pt idx="3">
                  <c:v>0</c:v>
                </c:pt>
                <c:pt idx="4">
                  <c:v>0.5</c:v>
                </c:pt>
                <c:pt idx="5">
                  <c:v>0</c:v>
                </c:pt>
                <c:pt idx="6">
                  <c:v>0.18518518518518517</c:v>
                </c:pt>
                <c:pt idx="7">
                  <c:v>0.5</c:v>
                </c:pt>
                <c:pt idx="8">
                  <c:v>0.2</c:v>
                </c:pt>
                <c:pt idx="9">
                  <c:v>0.3888888888888889</c:v>
                </c:pt>
                <c:pt idx="10">
                  <c:v>0.35714285714285715</c:v>
                </c:pt>
                <c:pt idx="11">
                  <c:v>0.5</c:v>
                </c:pt>
                <c:pt idx="12">
                  <c:v>9.0909090909090912E-2</c:v>
                </c:pt>
                <c:pt idx="13">
                  <c:v>0.33333333333333331</c:v>
                </c:pt>
                <c:pt idx="14">
                  <c:v>0</c:v>
                </c:pt>
                <c:pt idx="15">
                  <c:v>1</c:v>
                </c:pt>
                <c:pt idx="16">
                  <c:v>0.33333333333333331</c:v>
                </c:pt>
                <c:pt idx="17">
                  <c:v>0</c:v>
                </c:pt>
                <c:pt idx="18">
                  <c:v>4.5454545454545456E-2</c:v>
                </c:pt>
                <c:pt idx="19">
                  <c:v>0.33333333333333331</c:v>
                </c:pt>
                <c:pt idx="20">
                  <c:v>0.25</c:v>
                </c:pt>
                <c:pt idx="21">
                  <c:v>0.21052631578947367</c:v>
                </c:pt>
                <c:pt idx="22">
                  <c:v>0.3125</c:v>
                </c:pt>
                <c:pt idx="23">
                  <c:v>0</c:v>
                </c:pt>
                <c:pt idx="24">
                  <c:v>0.18181818181818182</c:v>
                </c:pt>
                <c:pt idx="25">
                  <c:v>0.2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'Emply''s overview of work status'!$Q$4</c:f>
              <c:strCache>
                <c:ptCount val="1"/>
                <c:pt idx="0">
                  <c:v>Ratio Not-initiated to total tasks</c:v>
                </c:pt>
              </c:strCache>
            </c:strRef>
          </c:tx>
          <c:marker>
            <c:symbol val="none"/>
          </c:marker>
          <c:cat>
            <c:strRef>
              <c:f>'Emply''s overview of work status'!$K$5:$K$30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status'!$Q$5:$Q$30</c:f>
              <c:numCache>
                <c:formatCode>0%</c:formatCode>
                <c:ptCount val="26"/>
                <c:pt idx="0">
                  <c:v>0.18181818181818182</c:v>
                </c:pt>
                <c:pt idx="1">
                  <c:v>0.36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0.33333333333333331</c:v>
                </c:pt>
                <c:pt idx="6">
                  <c:v>7.407407407407407E-2</c:v>
                </c:pt>
                <c:pt idx="7">
                  <c:v>0</c:v>
                </c:pt>
                <c:pt idx="8">
                  <c:v>0.2</c:v>
                </c:pt>
                <c:pt idx="9">
                  <c:v>0.61111111111111116</c:v>
                </c:pt>
                <c:pt idx="10">
                  <c:v>0.35714285714285715</c:v>
                </c:pt>
                <c:pt idx="11">
                  <c:v>0</c:v>
                </c:pt>
                <c:pt idx="12">
                  <c:v>9.0909090909090912E-2</c:v>
                </c:pt>
                <c:pt idx="13">
                  <c:v>0.40740740740740738</c:v>
                </c:pt>
                <c:pt idx="14">
                  <c:v>9.0909090909090912E-2</c:v>
                </c:pt>
                <c:pt idx="15">
                  <c:v>0</c:v>
                </c:pt>
                <c:pt idx="16">
                  <c:v>0.22222222222222221</c:v>
                </c:pt>
                <c:pt idx="17">
                  <c:v>0</c:v>
                </c:pt>
                <c:pt idx="18">
                  <c:v>9.0909090909090912E-2</c:v>
                </c:pt>
                <c:pt idx="19">
                  <c:v>0</c:v>
                </c:pt>
                <c:pt idx="20">
                  <c:v>0.125</c:v>
                </c:pt>
                <c:pt idx="21">
                  <c:v>0.31578947368421051</c:v>
                </c:pt>
                <c:pt idx="22">
                  <c:v>6.25E-2</c:v>
                </c:pt>
                <c:pt idx="23">
                  <c:v>7.1428571428571425E-2</c:v>
                </c:pt>
                <c:pt idx="24">
                  <c:v>9.0909090909090912E-2</c:v>
                </c:pt>
                <c:pt idx="25">
                  <c:v>0.4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'Emply''s overview of work status'!$R$4</c:f>
              <c:strCache>
                <c:ptCount val="1"/>
                <c:pt idx="0">
                  <c:v>Ratio completed to total</c:v>
                </c:pt>
              </c:strCache>
            </c:strRef>
          </c:tx>
          <c:marker>
            <c:symbol val="none"/>
          </c:marker>
          <c:cat>
            <c:strRef>
              <c:f>'Emply''s overview of work status'!$K$5:$K$30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overview of work status'!$R$5:$R$30</c:f>
              <c:numCache>
                <c:formatCode>0%</c:formatCode>
                <c:ptCount val="26"/>
                <c:pt idx="0">
                  <c:v>0.54545454545454541</c:v>
                </c:pt>
                <c:pt idx="1">
                  <c:v>0.24</c:v>
                </c:pt>
                <c:pt idx="2">
                  <c:v>0.66666666666666663</c:v>
                </c:pt>
                <c:pt idx="3">
                  <c:v>0</c:v>
                </c:pt>
                <c:pt idx="4">
                  <c:v>0.5</c:v>
                </c:pt>
                <c:pt idx="5">
                  <c:v>0.66666666666666663</c:v>
                </c:pt>
                <c:pt idx="6">
                  <c:v>0.7407407407407407</c:v>
                </c:pt>
                <c:pt idx="7">
                  <c:v>0.5</c:v>
                </c:pt>
                <c:pt idx="8">
                  <c:v>0.6</c:v>
                </c:pt>
                <c:pt idx="9">
                  <c:v>0</c:v>
                </c:pt>
                <c:pt idx="10">
                  <c:v>0.2857142857142857</c:v>
                </c:pt>
                <c:pt idx="11">
                  <c:v>0.5</c:v>
                </c:pt>
                <c:pt idx="12">
                  <c:v>0.81818181818181823</c:v>
                </c:pt>
                <c:pt idx="13">
                  <c:v>0.25925925925925924</c:v>
                </c:pt>
                <c:pt idx="14">
                  <c:v>0.90909090909090906</c:v>
                </c:pt>
                <c:pt idx="15">
                  <c:v>0</c:v>
                </c:pt>
                <c:pt idx="16">
                  <c:v>0.44444444444444442</c:v>
                </c:pt>
                <c:pt idx="17">
                  <c:v>1</c:v>
                </c:pt>
                <c:pt idx="18">
                  <c:v>0.86363636363636365</c:v>
                </c:pt>
                <c:pt idx="19">
                  <c:v>0.66666666666666663</c:v>
                </c:pt>
                <c:pt idx="20">
                  <c:v>0.625</c:v>
                </c:pt>
                <c:pt idx="21">
                  <c:v>0.47368421052631576</c:v>
                </c:pt>
                <c:pt idx="22">
                  <c:v>0.625</c:v>
                </c:pt>
                <c:pt idx="23">
                  <c:v>0.9285714285714286</c:v>
                </c:pt>
                <c:pt idx="24">
                  <c:v>0.72727272727272729</c:v>
                </c:pt>
                <c:pt idx="25">
                  <c:v>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035200"/>
        <c:axId val="250053760"/>
      </c:lineChart>
      <c:catAx>
        <c:axId val="25003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 Name</a:t>
                </a:r>
              </a:p>
            </c:rich>
          </c:tx>
          <c:overlay val="0"/>
        </c:title>
        <c:majorTickMark val="out"/>
        <c:minorTickMark val="none"/>
        <c:tickLblPos val="nextTo"/>
        <c:crossAx val="250053760"/>
        <c:crosses val="autoZero"/>
        <c:auto val="1"/>
        <c:lblAlgn val="ctr"/>
        <c:lblOffset val="100"/>
        <c:noMultiLvlLbl val="0"/>
      </c:catAx>
      <c:valAx>
        <c:axId val="250053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%ge ration of tasks initiated, not-initiated and completed w.r.to total task allotted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250035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No. of due-date task status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work Status-monthly'!$C$3</c:f>
              <c:strCache>
                <c:ptCount val="1"/>
                <c:pt idx="0">
                  <c:v>Due-date Task allotted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work Status-monthly'!$B$4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work Status-monthly'!$C$4</c:f>
              <c:numCache>
                <c:formatCode>General</c:formatCode>
                <c:ptCount val="1"/>
                <c:pt idx="0">
                  <c:v>422</c:v>
                </c:pt>
              </c:numCache>
            </c:numRef>
          </c:val>
        </c:ser>
        <c:ser>
          <c:idx val="1"/>
          <c:order val="1"/>
          <c:tx>
            <c:strRef>
              <c:f>'Office work Status-monthly'!$D$3</c:f>
              <c:strCache>
                <c:ptCount val="1"/>
                <c:pt idx="0">
                  <c:v>Initiated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work Status-monthly'!$B$4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work Status-monthly'!$D$4</c:f>
              <c:numCache>
                <c:formatCode>General</c:formatCode>
                <c:ptCount val="1"/>
                <c:pt idx="0">
                  <c:v>116</c:v>
                </c:pt>
              </c:numCache>
            </c:numRef>
          </c:val>
        </c:ser>
        <c:ser>
          <c:idx val="2"/>
          <c:order val="2"/>
          <c:tx>
            <c:strRef>
              <c:f>'Office work Status-monthly'!$E$3</c:f>
              <c:strCache>
                <c:ptCount val="1"/>
                <c:pt idx="0">
                  <c:v>Not-Initiated or carry forwarded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work Status-monthly'!$B$4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work Status-monthly'!$E$4</c:f>
              <c:numCache>
                <c:formatCode>General</c:formatCode>
                <c:ptCount val="1"/>
                <c:pt idx="0">
                  <c:v>72</c:v>
                </c:pt>
              </c:numCache>
            </c:numRef>
          </c:val>
        </c:ser>
        <c:ser>
          <c:idx val="3"/>
          <c:order val="3"/>
          <c:tx>
            <c:strRef>
              <c:f>'Office work Status-monthly'!$F$3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work Status-monthly'!$B$4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work Status-monthly'!$F$4</c:f>
              <c:numCache>
                <c:formatCode>General</c:formatCode>
                <c:ptCount val="1"/>
                <c:pt idx="0">
                  <c:v>234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0735232"/>
        <c:axId val="251462016"/>
      </c:barChart>
      <c:catAx>
        <c:axId val="250735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51462016"/>
        <c:crosses val="autoZero"/>
        <c:auto val="1"/>
        <c:lblAlgn val="ctr"/>
        <c:lblOffset val="100"/>
        <c:noMultiLvlLbl val="0"/>
      </c:catAx>
      <c:valAx>
        <c:axId val="251462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Due-date</a:t>
                </a:r>
                <a:r>
                  <a:rPr lang="en-US" baseline="0"/>
                  <a:t> tasks status</a:t>
                </a:r>
                <a:endParaRPr lang="en-US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250735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No. of project assignment tasks status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work Status-monthly'!$C$22</c:f>
              <c:strCache>
                <c:ptCount val="1"/>
                <c:pt idx="0">
                  <c:v>Project Assignment task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work Status-monthly'!$B$23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work Status-monthly'!$C$23</c:f>
              <c:numCache>
                <c:formatCode>General</c:formatCode>
                <c:ptCount val="1"/>
                <c:pt idx="0">
                  <c:v>348</c:v>
                </c:pt>
              </c:numCache>
            </c:numRef>
          </c:val>
        </c:ser>
        <c:ser>
          <c:idx val="1"/>
          <c:order val="1"/>
          <c:tx>
            <c:strRef>
              <c:f>'Office work Status-monthly'!$D$22</c:f>
              <c:strCache>
                <c:ptCount val="1"/>
                <c:pt idx="0">
                  <c:v>Initiated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work Status-monthly'!$B$23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work Status-monthly'!$D$23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</c:ser>
        <c:ser>
          <c:idx val="2"/>
          <c:order val="2"/>
          <c:tx>
            <c:strRef>
              <c:f>'Office work Status-monthly'!$E$22</c:f>
              <c:strCache>
                <c:ptCount val="1"/>
                <c:pt idx="0">
                  <c:v>Not-Initiated or carry forwarded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work Status-monthly'!$B$23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work Status-monthly'!$E$23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</c:ser>
        <c:ser>
          <c:idx val="3"/>
          <c:order val="3"/>
          <c:tx>
            <c:strRef>
              <c:f>'Office work Status-monthly'!$F$22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'Office work Status-monthly'!$B$23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work Status-monthly'!$F$23</c:f>
              <c:numCache>
                <c:formatCode>General</c:formatCode>
                <c:ptCount val="1"/>
                <c:pt idx="0">
                  <c:v>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1519744"/>
        <c:axId val="251521280"/>
      </c:barChart>
      <c:catAx>
        <c:axId val="251519744"/>
        <c:scaling>
          <c:orientation val="minMax"/>
        </c:scaling>
        <c:delete val="0"/>
        <c:axPos val="b"/>
        <c:majorTickMark val="out"/>
        <c:minorTickMark val="none"/>
        <c:tickLblPos val="nextTo"/>
        <c:crossAx val="251521280"/>
        <c:crosses val="autoZero"/>
        <c:auto val="1"/>
        <c:lblAlgn val="ctr"/>
        <c:lblOffset val="100"/>
        <c:noMultiLvlLbl val="0"/>
      </c:catAx>
      <c:valAx>
        <c:axId val="2515212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Project Assignment tasks status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251519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Ratios of project ass. Task status w.r.t total tasks allotted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'Office work Status-monthly'!$G$22</c:f>
              <c:strCache>
                <c:ptCount val="1"/>
                <c:pt idx="0">
                  <c:v>Ratio Initiated to 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0555555555555555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'Office work Status-monthly'!$G$23</c:f>
              <c:numCache>
                <c:formatCode>0%</c:formatCode>
                <c:ptCount val="1"/>
                <c:pt idx="0">
                  <c:v>0.23563218390804599</c:v>
                </c:pt>
              </c:numCache>
            </c:numRef>
          </c:val>
        </c:ser>
        <c:ser>
          <c:idx val="1"/>
          <c:order val="1"/>
          <c:tx>
            <c:strRef>
              <c:f>'Office work Status-monthly'!$H$22</c:f>
              <c:strCache>
                <c:ptCount val="1"/>
                <c:pt idx="0">
                  <c:v>Ratio Not-initiated to total tasks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1666447944007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'Office work Status-monthly'!$H$23</c:f>
              <c:numCache>
                <c:formatCode>0%</c:formatCode>
                <c:ptCount val="1"/>
                <c:pt idx="0">
                  <c:v>0.21551724137931033</c:v>
                </c:pt>
              </c:numCache>
            </c:numRef>
          </c:val>
        </c:ser>
        <c:ser>
          <c:idx val="2"/>
          <c:order val="2"/>
          <c:tx>
            <c:strRef>
              <c:f>'Office work Status-monthly'!$I$22</c:f>
              <c:strCache>
                <c:ptCount val="1"/>
                <c:pt idx="0">
                  <c:v>Ratio completed to 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6111111111111108E-2"/>
                  <c:y val="-4.1666666666666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'Office work Status-monthly'!$I$23</c:f>
              <c:numCache>
                <c:formatCode>0%</c:formatCode>
                <c:ptCount val="1"/>
                <c:pt idx="0">
                  <c:v>0.54885057471264365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251561856"/>
        <c:axId val="251572224"/>
        <c:axId val="0"/>
      </c:bar3DChart>
      <c:catAx>
        <c:axId val="251561856"/>
        <c:scaling>
          <c:orientation val="minMax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ABC</a:t>
                </a:r>
              </a:p>
            </c:rich>
          </c:tx>
          <c:overlay val="0"/>
        </c:title>
        <c:majorTickMark val="none"/>
        <c:minorTickMark val="none"/>
        <c:tickLblPos val="nextTo"/>
        <c:crossAx val="251572224"/>
        <c:crosses val="autoZero"/>
        <c:auto val="1"/>
        <c:lblAlgn val="ctr"/>
        <c:lblOffset val="100"/>
        <c:noMultiLvlLbl val="0"/>
      </c:catAx>
      <c:valAx>
        <c:axId val="25157222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crossAx val="2515618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Ratios of due-date</a:t>
            </a:r>
            <a:r>
              <a:rPr lang="en-US" baseline="0"/>
              <a:t> tasks status w.r.to total tasks allotted</a:t>
            </a:r>
            <a:endParaRPr 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'Office work Status-monthly'!$G$3</c:f>
              <c:strCache>
                <c:ptCount val="1"/>
                <c:pt idx="0">
                  <c:v>Ratio of Initiated to 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1666666666666664E-2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'Office work Status-monthly'!$G$4</c:f>
              <c:numCache>
                <c:formatCode>0%</c:formatCode>
                <c:ptCount val="1"/>
                <c:pt idx="0">
                  <c:v>0.27488151658767773</c:v>
                </c:pt>
              </c:numCache>
            </c:numRef>
          </c:val>
        </c:ser>
        <c:ser>
          <c:idx val="1"/>
          <c:order val="1"/>
          <c:tx>
            <c:strRef>
              <c:f>'Office work Status-monthly'!$H$3</c:f>
              <c:strCache>
                <c:ptCount val="1"/>
                <c:pt idx="0">
                  <c:v>Ratio  of Not-initiated to total tasks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3333333333333333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'Office work Status-monthly'!$H$4</c:f>
              <c:numCache>
                <c:formatCode>0%</c:formatCode>
                <c:ptCount val="1"/>
                <c:pt idx="0">
                  <c:v>0.17061611374407584</c:v>
                </c:pt>
              </c:numCache>
            </c:numRef>
          </c:val>
        </c:ser>
        <c:ser>
          <c:idx val="2"/>
          <c:order val="2"/>
          <c:tx>
            <c:strRef>
              <c:f>'Office work Status-monthly'!$I$3</c:f>
              <c:strCache>
                <c:ptCount val="1"/>
                <c:pt idx="0">
                  <c:v>Ratio of completed to 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3333333333333437E-2"/>
                  <c:y val="-3.24074074074073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'Office work Status-monthly'!$I$4</c:f>
              <c:numCache>
                <c:formatCode>0%</c:formatCode>
                <c:ptCount val="1"/>
                <c:pt idx="0">
                  <c:v>0.5545023696682464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257047552"/>
        <c:axId val="257066112"/>
        <c:axId val="0"/>
      </c:bar3DChart>
      <c:catAx>
        <c:axId val="257047552"/>
        <c:scaling>
          <c:orientation val="minMax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ABC</a:t>
                </a:r>
              </a:p>
            </c:rich>
          </c:tx>
          <c:overlay val="0"/>
        </c:title>
        <c:majorTickMark val="none"/>
        <c:minorTickMark val="none"/>
        <c:tickLblPos val="nextTo"/>
        <c:crossAx val="257066112"/>
        <c:crosses val="autoZero"/>
        <c:auto val="1"/>
        <c:lblAlgn val="ctr"/>
        <c:lblOffset val="100"/>
        <c:noMultiLvlLbl val="0"/>
      </c:catAx>
      <c:valAx>
        <c:axId val="25706611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crossAx val="2570475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No. of leave taken by</a:t>
            </a:r>
            <a:r>
              <a:rPr lang="en-US" baseline="0"/>
              <a:t> employees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'Empl''s leave analysis-mthly'!$C$4</c:f>
              <c:strCache>
                <c:ptCount val="1"/>
                <c:pt idx="0">
                  <c:v>Total no. of leave taken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'Empl''s leave analysis-mthly'!$A$5:$B$30</c:f>
              <c:multiLvlStrCache>
                <c:ptCount val="26"/>
                <c:lvl>
                  <c:pt idx="0">
                    <c:v>CL</c:v>
                  </c:pt>
                  <c:pt idx="1">
                    <c:v>SL</c:v>
                  </c:pt>
                  <c:pt idx="2">
                    <c:v>PL</c:v>
                  </c:pt>
                  <c:pt idx="3">
                    <c:v>CO</c:v>
                  </c:pt>
                  <c:pt idx="4">
                    <c:v>SL</c:v>
                  </c:pt>
                  <c:pt idx="5">
                    <c:v>SL</c:v>
                  </c:pt>
                  <c:pt idx="6">
                    <c:v>CO</c:v>
                  </c:pt>
                  <c:pt idx="7">
                    <c:v>CL</c:v>
                  </c:pt>
                  <c:pt idx="8">
                    <c:v>SL</c:v>
                  </c:pt>
                  <c:pt idx="9">
                    <c:v>CO</c:v>
                  </c:pt>
                  <c:pt idx="10">
                    <c:v>CO</c:v>
                  </c:pt>
                  <c:pt idx="11">
                    <c:v>SL</c:v>
                  </c:pt>
                  <c:pt idx="12">
                    <c:v>SL</c:v>
                  </c:pt>
                  <c:pt idx="13">
                    <c:v>SL</c:v>
                  </c:pt>
                  <c:pt idx="14">
                    <c:v>CL</c:v>
                  </c:pt>
                  <c:pt idx="15">
                    <c:v>CL</c:v>
                  </c:pt>
                  <c:pt idx="16">
                    <c:v>CL</c:v>
                  </c:pt>
                  <c:pt idx="17">
                    <c:v>CO</c:v>
                  </c:pt>
                  <c:pt idx="18">
                    <c:v>SL</c:v>
                  </c:pt>
                  <c:pt idx="19">
                    <c:v>SL</c:v>
                  </c:pt>
                  <c:pt idx="20">
                    <c:v>PL</c:v>
                  </c:pt>
                  <c:pt idx="21">
                    <c:v>PL</c:v>
                  </c:pt>
                  <c:pt idx="22">
                    <c:v>CL</c:v>
                  </c:pt>
                  <c:pt idx="23">
                    <c:v>CL</c:v>
                  </c:pt>
                  <c:pt idx="24">
                    <c:v>CO</c:v>
                  </c:pt>
                  <c:pt idx="25">
                    <c:v>SL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</c:v>
                  </c:pt>
                  <c:pt idx="9">
                    <c:v>J</c:v>
                  </c:pt>
                  <c:pt idx="10">
                    <c:v>K</c:v>
                  </c:pt>
                  <c:pt idx="11">
                    <c:v>L</c:v>
                  </c:pt>
                  <c:pt idx="12">
                    <c:v>M</c:v>
                  </c:pt>
                  <c:pt idx="13">
                    <c:v>N</c:v>
                  </c:pt>
                  <c:pt idx="14">
                    <c:v>O</c:v>
                  </c:pt>
                  <c:pt idx="15">
                    <c:v>P</c:v>
                  </c:pt>
                  <c:pt idx="16">
                    <c:v>Q</c:v>
                  </c:pt>
                  <c:pt idx="17">
                    <c:v>R</c:v>
                  </c:pt>
                  <c:pt idx="18">
                    <c:v>S</c:v>
                  </c:pt>
                  <c:pt idx="19">
                    <c:v>T</c:v>
                  </c:pt>
                  <c:pt idx="20">
                    <c:v>U</c:v>
                  </c:pt>
                  <c:pt idx="21">
                    <c:v>V</c:v>
                  </c:pt>
                  <c:pt idx="22">
                    <c:v>W</c:v>
                  </c:pt>
                  <c:pt idx="23">
                    <c:v>X</c:v>
                  </c:pt>
                  <c:pt idx="24">
                    <c:v>Y</c:v>
                  </c:pt>
                  <c:pt idx="25">
                    <c:v>Z</c:v>
                  </c:pt>
                </c:lvl>
              </c:multiLvlStrCache>
            </c:multiLvlStrRef>
          </c:cat>
          <c:val>
            <c:numRef>
              <c:f>'Empl''s leave analysis-mthly'!$C$5:$C$30</c:f>
              <c:numCache>
                <c:formatCode>0</c:formatCode>
                <c:ptCount val="26"/>
                <c:pt idx="0">
                  <c:v>2</c:v>
                </c:pt>
                <c:pt idx="1">
                  <c:v>3</c:v>
                </c:pt>
                <c:pt idx="2">
                  <c:v>30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4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40</c:v>
                </c:pt>
                <c:pt idx="21">
                  <c:v>45</c:v>
                </c:pt>
                <c:pt idx="22">
                  <c:v>4</c:v>
                </c:pt>
                <c:pt idx="23">
                  <c:v>3</c:v>
                </c:pt>
                <c:pt idx="24">
                  <c:v>5</c:v>
                </c:pt>
                <c:pt idx="25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189376"/>
        <c:axId val="260592384"/>
      </c:barChart>
      <c:catAx>
        <c:axId val="259189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 name and leave type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60592384"/>
        <c:crosses val="autoZero"/>
        <c:auto val="1"/>
        <c:lblAlgn val="ctr"/>
        <c:lblOffset val="100"/>
        <c:noMultiLvlLbl val="0"/>
      </c:catAx>
      <c:valAx>
        <c:axId val="26059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Leaves</a:t>
                </a: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259189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Office Leave</a:t>
            </a:r>
            <a:r>
              <a:rPr lang="en-US" baseline="0"/>
              <a:t> overview</a:t>
            </a:r>
            <a:endParaRPr lang="en-US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'Office leave analysis-mthly'!$C$3</c:f>
              <c:strCache>
                <c:ptCount val="1"/>
                <c:pt idx="0">
                  <c:v>No. of days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'Office leave analysis-mthly'!$B$4:$B$7</c:f>
              <c:strCache>
                <c:ptCount val="4"/>
                <c:pt idx="0">
                  <c:v>Casual</c:v>
                </c:pt>
                <c:pt idx="1">
                  <c:v>Sick Leave</c:v>
                </c:pt>
                <c:pt idx="2">
                  <c:v>Parental Leave</c:v>
                </c:pt>
                <c:pt idx="3">
                  <c:v>Compensatory Leave</c:v>
                </c:pt>
              </c:strCache>
            </c:strRef>
          </c:cat>
          <c:val>
            <c:numRef>
              <c:f>'Office leave analysis-mthly'!$C$4:$C$7</c:f>
              <c:numCache>
                <c:formatCode>0</c:formatCode>
                <c:ptCount val="4"/>
                <c:pt idx="0">
                  <c:v>23</c:v>
                </c:pt>
                <c:pt idx="1">
                  <c:v>34</c:v>
                </c:pt>
                <c:pt idx="2">
                  <c:v>115</c:v>
                </c:pt>
                <c:pt idx="3">
                  <c:v>20</c:v>
                </c:pt>
              </c:numCache>
            </c:numRef>
          </c:val>
        </c:ser>
        <c:ser>
          <c:idx val="1"/>
          <c:order val="1"/>
          <c:tx>
            <c:strRef>
              <c:f>'Office leave analysis-mthly'!$D$3</c:f>
              <c:strCache>
                <c:ptCount val="1"/>
                <c:pt idx="0">
                  <c:v>Ratio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'Office leave analysis-mthly'!$B$4:$B$7</c:f>
              <c:strCache>
                <c:ptCount val="4"/>
                <c:pt idx="0">
                  <c:v>Casual</c:v>
                </c:pt>
                <c:pt idx="1">
                  <c:v>Sick Leave</c:v>
                </c:pt>
                <c:pt idx="2">
                  <c:v>Parental Leave</c:v>
                </c:pt>
                <c:pt idx="3">
                  <c:v>Compensatory Leave</c:v>
                </c:pt>
              </c:strCache>
            </c:strRef>
          </c:cat>
          <c:val>
            <c:numRef>
              <c:f>'Office leave analysis-mthly'!$D$4:$D$7</c:f>
              <c:numCache>
                <c:formatCode>0%</c:formatCode>
                <c:ptCount val="4"/>
                <c:pt idx="0">
                  <c:v>0.11979166666666667</c:v>
                </c:pt>
                <c:pt idx="1">
                  <c:v>0.17708333333333334</c:v>
                </c:pt>
                <c:pt idx="2">
                  <c:v>0.59895833333333337</c:v>
                </c:pt>
                <c:pt idx="3">
                  <c:v>0.10416666666666667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Employees course status</a:t>
            </a:r>
          </a:p>
        </c:rich>
      </c:tx>
      <c:layout>
        <c:manualLayout>
          <c:xMode val="edge"/>
          <c:yMode val="edge"/>
          <c:x val="0.18777041942604855"/>
          <c:y val="3.4837688044338878E-2"/>
        </c:manualLayout>
      </c:layout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'Emply''s course status analysis'!$C$3</c:f>
              <c:strCache>
                <c:ptCount val="1"/>
                <c:pt idx="0">
                  <c:v>Courses taken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  <c:invertIfNegative val="0"/>
          <c:cat>
            <c:strRef>
              <c:f>'Emply''s course status analysis'!$B$4:$B$29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course status analysis'!$C$4:$C$29</c:f>
              <c:numCache>
                <c:formatCode>General</c:formatCode>
                <c:ptCount val="26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4</c:v>
                </c:pt>
                <c:pt idx="25">
                  <c:v>2</c:v>
                </c:pt>
              </c:numCache>
            </c:numRef>
          </c:val>
        </c:ser>
        <c:ser>
          <c:idx val="1"/>
          <c:order val="1"/>
          <c:tx>
            <c:strRef>
              <c:f>'Emply''s course status analysis'!$D$3</c:f>
              <c:strCache>
                <c:ptCount val="1"/>
                <c:pt idx="0">
                  <c:v>Completed courses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6">
                  <a:lumMod val="20000"/>
                  <a:lumOff val="80000"/>
                </a:schemeClr>
              </a:solidFill>
            </a:ln>
          </c:spPr>
          <c:invertIfNegative val="0"/>
          <c:cat>
            <c:strRef>
              <c:f>'Emply''s course status analysis'!$B$4:$B$29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course status analysis'!$D$4:$D$29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3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'Emply''s course status analysis'!$E$3</c:f>
              <c:strCache>
                <c:ptCount val="1"/>
                <c:pt idx="0">
                  <c:v>Pending courses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cat>
            <c:strRef>
              <c:f>'Emply''s course status analysis'!$B$4:$B$29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course status analysis'!$E$4:$E$29</c:f>
              <c:numCache>
                <c:formatCode>General</c:formatCode>
                <c:ptCount val="26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0081920"/>
        <c:axId val="260088192"/>
      </c:barChart>
      <c:lineChart>
        <c:grouping val="standard"/>
        <c:varyColors val="0"/>
        <c:ser>
          <c:idx val="3"/>
          <c:order val="3"/>
          <c:tx>
            <c:strRef>
              <c:f>'Emply''s course status analysis'!$F$3</c:f>
              <c:strCache>
                <c:ptCount val="1"/>
                <c:pt idx="0">
                  <c:v>Ratio of completed courses to total courses taken</c:v>
                </c:pt>
              </c:strCache>
            </c:strRef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'Emply''s course status analysis'!$B$4:$B$29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course status analysis'!$F$4:$F$29</c:f>
              <c:numCache>
                <c:formatCode>0%</c:formatCode>
                <c:ptCount val="26"/>
                <c:pt idx="0">
                  <c:v>0.5</c:v>
                </c:pt>
                <c:pt idx="1">
                  <c:v>1</c:v>
                </c:pt>
                <c:pt idx="2">
                  <c:v>0.33333333333333331</c:v>
                </c:pt>
                <c:pt idx="3">
                  <c:v>1</c:v>
                </c:pt>
                <c:pt idx="4">
                  <c:v>1</c:v>
                </c:pt>
                <c:pt idx="5">
                  <c:v>0.75</c:v>
                </c:pt>
                <c:pt idx="6">
                  <c:v>0.66666666666666663</c:v>
                </c:pt>
                <c:pt idx="7">
                  <c:v>1</c:v>
                </c:pt>
                <c:pt idx="8">
                  <c:v>0.33333333333333331</c:v>
                </c:pt>
                <c:pt idx="9">
                  <c:v>0.5</c:v>
                </c:pt>
                <c:pt idx="10">
                  <c:v>1</c:v>
                </c:pt>
                <c:pt idx="11">
                  <c:v>1</c:v>
                </c:pt>
                <c:pt idx="12">
                  <c:v>0.66666666666666663</c:v>
                </c:pt>
                <c:pt idx="13">
                  <c:v>0.66666666666666663</c:v>
                </c:pt>
                <c:pt idx="14">
                  <c:v>0.5</c:v>
                </c:pt>
                <c:pt idx="15">
                  <c:v>0.75</c:v>
                </c:pt>
                <c:pt idx="16">
                  <c:v>1</c:v>
                </c:pt>
                <c:pt idx="17">
                  <c:v>1</c:v>
                </c:pt>
                <c:pt idx="18">
                  <c:v>0.33333333333333331</c:v>
                </c:pt>
                <c:pt idx="19">
                  <c:v>0.25</c:v>
                </c:pt>
                <c:pt idx="20">
                  <c:v>1</c:v>
                </c:pt>
                <c:pt idx="21">
                  <c:v>0</c:v>
                </c:pt>
                <c:pt idx="22">
                  <c:v>0.5</c:v>
                </c:pt>
                <c:pt idx="23">
                  <c:v>0</c:v>
                </c:pt>
                <c:pt idx="24">
                  <c:v>0.75</c:v>
                </c:pt>
                <c:pt idx="25">
                  <c:v>0.5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'Emply''s course status analysis'!$G$3</c:f>
              <c:strCache>
                <c:ptCount val="1"/>
                <c:pt idx="0">
                  <c:v>Ratio of pending courses to total courses</c:v>
                </c:pt>
              </c:strCache>
            </c:strRef>
          </c:tx>
          <c:spPr>
            <a:ln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'Emply''s course status analysis'!$B$4:$B$29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'Emply''s course status analysis'!$G$4:$G$29</c:f>
              <c:numCache>
                <c:formatCode>0%</c:formatCode>
                <c:ptCount val="26"/>
                <c:pt idx="0">
                  <c:v>0.5</c:v>
                </c:pt>
                <c:pt idx="1">
                  <c:v>0</c:v>
                </c:pt>
                <c:pt idx="2">
                  <c:v>0.66666666666666663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0.33333333333333331</c:v>
                </c:pt>
                <c:pt idx="7">
                  <c:v>0</c:v>
                </c:pt>
                <c:pt idx="8">
                  <c:v>0.66666666666666663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0.33333333333333331</c:v>
                </c:pt>
                <c:pt idx="13">
                  <c:v>0.33333333333333331</c:v>
                </c:pt>
                <c:pt idx="14">
                  <c:v>0.5</c:v>
                </c:pt>
                <c:pt idx="15">
                  <c:v>0.25</c:v>
                </c:pt>
                <c:pt idx="16">
                  <c:v>0</c:v>
                </c:pt>
                <c:pt idx="17">
                  <c:v>0</c:v>
                </c:pt>
                <c:pt idx="18">
                  <c:v>0.66666666666666663</c:v>
                </c:pt>
                <c:pt idx="19">
                  <c:v>0.75</c:v>
                </c:pt>
                <c:pt idx="20">
                  <c:v>0</c:v>
                </c:pt>
                <c:pt idx="21">
                  <c:v>1</c:v>
                </c:pt>
                <c:pt idx="22">
                  <c:v>0.5</c:v>
                </c:pt>
                <c:pt idx="23">
                  <c:v>1</c:v>
                </c:pt>
                <c:pt idx="24">
                  <c:v>0.25</c:v>
                </c:pt>
                <c:pt idx="25">
                  <c:v>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081920"/>
        <c:axId val="260088192"/>
      </c:lineChart>
      <c:catAx>
        <c:axId val="26008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 name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60088192"/>
        <c:crosses val="autoZero"/>
        <c:auto val="1"/>
        <c:lblAlgn val="ctr"/>
        <c:lblOffset val="100"/>
        <c:noMultiLvlLbl val="0"/>
      </c:catAx>
      <c:valAx>
        <c:axId val="260088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</a:t>
                </a:r>
                <a:r>
                  <a:rPr lang="en-US" baseline="0"/>
                  <a:t> of completed and pending courses to total courses</a:t>
                </a:r>
                <a:endParaRPr lang="en-US"/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260081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Office overall course status</a:t>
            </a:r>
          </a:p>
        </c:rich>
      </c:tx>
      <c:layout>
        <c:manualLayout>
          <c:xMode val="edge"/>
          <c:yMode val="edge"/>
          <c:x val="0.20963449605340137"/>
          <c:y val="2.2160664819944598E-2"/>
        </c:manualLayout>
      </c:layout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overall course status'!$C$3</c:f>
              <c:strCache>
                <c:ptCount val="1"/>
                <c:pt idx="0">
                  <c:v>Courses taken</c:v>
                </c:pt>
              </c:strCache>
            </c:strRef>
          </c:tx>
          <c:invertIfNegative val="0"/>
          <c:cat>
            <c:strRef>
              <c:f>'Office overall course status'!$B$4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overall course status'!$C$4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</c:ser>
        <c:ser>
          <c:idx val="1"/>
          <c:order val="1"/>
          <c:tx>
            <c:strRef>
              <c:f>'Office overall course status'!$D$3</c:f>
              <c:strCache>
                <c:ptCount val="1"/>
                <c:pt idx="0">
                  <c:v>Completed courses</c:v>
                </c:pt>
              </c:strCache>
            </c:strRef>
          </c:tx>
          <c:invertIfNegative val="0"/>
          <c:cat>
            <c:strRef>
              <c:f>'Office overall course status'!$B$4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overall course status'!$D$4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</c:ser>
        <c:ser>
          <c:idx val="2"/>
          <c:order val="2"/>
          <c:tx>
            <c:strRef>
              <c:f>'Office overall course status'!$E$3</c:f>
              <c:strCache>
                <c:ptCount val="1"/>
                <c:pt idx="0">
                  <c:v>Pending courses</c:v>
                </c:pt>
              </c:strCache>
            </c:strRef>
          </c:tx>
          <c:invertIfNegative val="0"/>
          <c:cat>
            <c:strRef>
              <c:f>'Office overall course status'!$B$4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overall course status'!$E$4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0195456"/>
        <c:axId val="260197376"/>
      </c:barChart>
      <c:lineChart>
        <c:grouping val="standard"/>
        <c:varyColors val="0"/>
        <c:ser>
          <c:idx val="3"/>
          <c:order val="3"/>
          <c:tx>
            <c:strRef>
              <c:f>'Office overall course status'!$F$3</c:f>
              <c:strCache>
                <c:ptCount val="1"/>
                <c:pt idx="0">
                  <c:v>Ratio of completed courses to total courses taken</c:v>
                </c:pt>
              </c:strCache>
            </c:strRef>
          </c:tx>
          <c:marker>
            <c:symbol val="square"/>
            <c:size val="5"/>
          </c:marker>
          <c:cat>
            <c:strRef>
              <c:f>'Office overall course status'!$B$4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overall course status'!$F$4</c:f>
              <c:numCache>
                <c:formatCode>0%</c:formatCode>
                <c:ptCount val="1"/>
                <c:pt idx="0">
                  <c:v>0.65714285714285714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'Office overall course status'!$G$3</c:f>
              <c:strCache>
                <c:ptCount val="1"/>
                <c:pt idx="0">
                  <c:v>Ratio of pending courses to total courses</c:v>
                </c:pt>
              </c:strCache>
            </c:strRef>
          </c:tx>
          <c:marker>
            <c:symbol val="square"/>
            <c:size val="5"/>
          </c:marker>
          <c:cat>
            <c:strRef>
              <c:f>'Office overall course status'!$B$4</c:f>
              <c:strCache>
                <c:ptCount val="1"/>
                <c:pt idx="0">
                  <c:v>ABC</c:v>
                </c:pt>
              </c:strCache>
            </c:strRef>
          </c:cat>
          <c:val>
            <c:numRef>
              <c:f>'Office overall course status'!$G$4</c:f>
              <c:numCache>
                <c:formatCode>0%</c:formatCode>
                <c:ptCount val="1"/>
                <c:pt idx="0">
                  <c:v>0.34285714285714286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195456"/>
        <c:axId val="260197376"/>
      </c:lineChart>
      <c:catAx>
        <c:axId val="26019545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ABC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60197376"/>
        <c:crosses val="autoZero"/>
        <c:auto val="1"/>
        <c:lblAlgn val="ctr"/>
        <c:lblOffset val="100"/>
        <c:noMultiLvlLbl val="0"/>
      </c:catAx>
      <c:valAx>
        <c:axId val="260197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Ration</a:t>
                </a:r>
                <a:r>
                  <a:rPr lang="en-US" baseline="0"/>
                  <a:t> of completed &amp; pending courses to courses taken</a:t>
                </a:r>
                <a:endParaRPr lang="en-US"/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260195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2</xdr:row>
      <xdr:rowOff>9524</xdr:rowOff>
    </xdr:from>
    <xdr:to>
      <xdr:col>17</xdr:col>
      <xdr:colOff>466725</xdr:colOff>
      <xdr:row>24</xdr:row>
      <xdr:rowOff>190499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5</xdr:row>
      <xdr:rowOff>9525</xdr:rowOff>
    </xdr:from>
    <xdr:to>
      <xdr:col>6</xdr:col>
      <xdr:colOff>123825</xdr:colOff>
      <xdr:row>29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438149</xdr:colOff>
      <xdr:row>30</xdr:row>
      <xdr:rowOff>66674</xdr:rowOff>
    </xdr:from>
    <xdr:to>
      <xdr:col>5</xdr:col>
      <xdr:colOff>1057274</xdr:colOff>
      <xdr:row>54</xdr:row>
      <xdr:rowOff>104775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38099</xdr:colOff>
      <xdr:row>30</xdr:row>
      <xdr:rowOff>85724</xdr:rowOff>
    </xdr:from>
    <xdr:to>
      <xdr:col>13</xdr:col>
      <xdr:colOff>133350</xdr:colOff>
      <xdr:row>54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</xdr:row>
      <xdr:rowOff>180975</xdr:rowOff>
    </xdr:from>
    <xdr:to>
      <xdr:col>4</xdr:col>
      <xdr:colOff>38100</xdr:colOff>
      <xdr:row>21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26</xdr:row>
      <xdr:rowOff>28574</xdr:rowOff>
    </xdr:from>
    <xdr:to>
      <xdr:col>3</xdr:col>
      <xdr:colOff>2047875</xdr:colOff>
      <xdr:row>41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30</xdr:row>
      <xdr:rowOff>171450</xdr:rowOff>
    </xdr:from>
    <xdr:to>
      <xdr:col>10</xdr:col>
      <xdr:colOff>38099</xdr:colOff>
      <xdr:row>47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66674</xdr:colOff>
      <xdr:row>31</xdr:row>
      <xdr:rowOff>0</xdr:rowOff>
    </xdr:from>
    <xdr:to>
      <xdr:col>17</xdr:col>
      <xdr:colOff>38100</xdr:colOff>
      <xdr:row>47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0</xdr:rowOff>
    </xdr:from>
    <xdr:to>
      <xdr:col>4</xdr:col>
      <xdr:colOff>1419225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23</xdr:row>
      <xdr:rowOff>180975</xdr:rowOff>
    </xdr:from>
    <xdr:to>
      <xdr:col>4</xdr:col>
      <xdr:colOff>1400174</xdr:colOff>
      <xdr:row>38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66675</xdr:colOff>
      <xdr:row>24</xdr:row>
      <xdr:rowOff>0</xdr:rowOff>
    </xdr:from>
    <xdr:to>
      <xdr:col>8</xdr:col>
      <xdr:colOff>171450</xdr:colOff>
      <xdr:row>38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5</xdr:row>
      <xdr:rowOff>9525</xdr:rowOff>
    </xdr:from>
    <xdr:to>
      <xdr:col>8</xdr:col>
      <xdr:colOff>142875</xdr:colOff>
      <xdr:row>19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10</xdr:row>
      <xdr:rowOff>180975</xdr:rowOff>
    </xdr:from>
    <xdr:to>
      <xdr:col>10</xdr:col>
      <xdr:colOff>590550</xdr:colOff>
      <xdr:row>25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1</xdr:row>
      <xdr:rowOff>171450</xdr:rowOff>
    </xdr:from>
    <xdr:to>
      <xdr:col>14</xdr:col>
      <xdr:colOff>314324</xdr:colOff>
      <xdr:row>19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9</xdr:row>
      <xdr:rowOff>19049</xdr:rowOff>
    </xdr:from>
    <xdr:to>
      <xdr:col>14</xdr:col>
      <xdr:colOff>19050</xdr:colOff>
      <xdr:row>30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5</xdr:row>
      <xdr:rowOff>180974</xdr:rowOff>
    </xdr:from>
    <xdr:to>
      <xdr:col>6</xdr:col>
      <xdr:colOff>28574</xdr:colOff>
      <xdr:row>23</xdr:row>
      <xdr:rowOff>190499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3:F29" totalsRowShown="0" headerRowDxfId="49">
  <autoFilter ref="B3:F29"/>
  <tableColumns count="5">
    <tableColumn id="1" name="Employee name" dataDxfId="48"/>
    <tableColumn id="2" name="Enquiry received" dataDxfId="47"/>
    <tableColumn id="5" name="Enquiry Converted"/>
    <tableColumn id="3" name="Difference" dataDxfId="46">
      <calculatedColumnFormula>Table1[[#This Row],[Enquiry received]]-Table1[[#This Row],[Enquiry Converted]]</calculatedColumnFormula>
    </tableColumn>
    <tableColumn id="6" name="Win rate" dataCellStyle="Percent">
      <calculatedColumnFormula>Table1[[#This Row],[Enquiry Converted]]/Table1[[#This Row],[Enquiry received]]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Table8" displayName="Table8" ref="B3:F4" totalsRowShown="0">
  <autoFilter ref="B3:F4"/>
  <tableColumns count="5">
    <tableColumn id="1" name="Office Name"/>
    <tableColumn id="2" name="Enquiry received"/>
    <tableColumn id="3" name="Enquiry Converted"/>
    <tableColumn id="4" name="Difference"/>
    <tableColumn id="5" name="Win rate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B3:K29" totalsRowShown="0" headerRowDxfId="45" dataDxfId="44">
  <autoFilter ref="B3:K29"/>
  <tableColumns count="10">
    <tableColumn id="1" name="Employee Name" dataDxfId="43"/>
    <tableColumn id="2" name="Due-date tasks allotted" dataDxfId="42"/>
    <tableColumn id="3" name="Completed Due-date tasks" dataDxfId="41"/>
    <tableColumn id="6" name="Remaining" dataDxfId="40"/>
    <tableColumn id="8" name="% of work completed" dataDxfId="39" dataCellStyle="Percent"/>
    <tableColumn id="10" name="Employee Name2" dataDxfId="38" dataCellStyle="Percent"/>
    <tableColumn id="4" name="Project Assignment Alloted" dataDxfId="37"/>
    <tableColumn id="5" name="Completed Project Assignments" dataDxfId="36"/>
    <tableColumn id="7" name="Remaining2" dataDxfId="35"/>
    <tableColumn id="9" name="% of work completed2" dataDxfId="34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Table11" displayName="Table11" ref="B3:F4" totalsRowShown="0">
  <autoFilter ref="B3:F4"/>
  <tableColumns count="5">
    <tableColumn id="1" name="Employee Name"/>
    <tableColumn id="2" name="Due-date tasks alloted"/>
    <tableColumn id="3" name="Completed Due-date tasks"/>
    <tableColumn id="4" name="Remaining"/>
    <tableColumn id="5" name="% of work completed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3" name="Table13" displayName="Table13" ref="B24:F25" totalsRowShown="0">
  <autoFilter ref="B24:F25"/>
  <tableColumns count="5">
    <tableColumn id="1" name="Employee Name2"/>
    <tableColumn id="2" name="Project Assignment Alloted"/>
    <tableColumn id="3" name="Completed Project Assignments"/>
    <tableColumn id="4" name="Remaining2"/>
    <tableColumn id="5" name="% of work completed2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5" ref="B4:I30" totalsRowShown="0" dataDxfId="33" tableBorderDxfId="32">
  <autoFilter ref="B4:I30"/>
  <tableColumns count="8">
    <tableColumn id="1" name="Employee Name" dataDxfId="31"/>
    <tableColumn id="2" name="Due-date Task allotted" dataDxfId="30"/>
    <tableColumn id="3" name="Initiated"/>
    <tableColumn id="4" name="Not-Initiated or carry forwarded"/>
    <tableColumn id="5" name="Completed" dataDxfId="29"/>
    <tableColumn id="7" name="Ratio Initiated to total" dataDxfId="28" dataCellStyle="Percent">
      <calculatedColumnFormula>Table5[[#This Row],[Initiated]]/SUM(Table5[[#This Row],[Initiated]:[Ratio Initiated to total]])</calculatedColumnFormula>
    </tableColumn>
    <tableColumn id="8" name="Ratio Not-initiated to total tasks" dataDxfId="27" dataCellStyle="Percent">
      <calculatedColumnFormula>Table5[[#This Row],[Not-Initiated or carry forwarded]]/SUM(Table5[[#This Row],[Initiated]:[Completed]])</calculatedColumnFormula>
    </tableColumn>
    <tableColumn id="9" name="Ratio completed to total" dataDxfId="26" dataCellStyle="Percent">
      <calculatedColumnFormula>Table5[[#This Row],[Completed]]/SUM(Table5[[#This Row],[Initiated]:[Completed]])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" name="Table6" displayName="Table6" ref="K4:R30" totalsRowShown="0" dataDxfId="25" tableBorderDxfId="24">
  <autoFilter ref="K4:R30"/>
  <tableColumns count="8">
    <tableColumn id="1" name="Employee Name" dataDxfId="23"/>
    <tableColumn id="2" name="Project Assignment task" dataDxfId="22"/>
    <tableColumn id="3" name="Initiated"/>
    <tableColumn id="4" name="Not-Initiated or carry forwarded"/>
    <tableColumn id="5" name="Completed" dataDxfId="21"/>
    <tableColumn id="7" name="Ratio Initiated to total" dataDxfId="20" dataCellStyle="Percent">
      <calculatedColumnFormula>Table6[[#This Row],[Initiated]]/SUM(Table6[[#This Row],[Initiated]:[Completed]])</calculatedColumnFormula>
    </tableColumn>
    <tableColumn id="8" name="Ratio Not-initiated to total tasks" dataDxfId="19" dataCellStyle="Percent">
      <calculatedColumnFormula>Table6[[#This Row],[Not-Initiated or carry forwarded]]/SUM(Table6[[#This Row],[Initiated]:[Completed]])</calculatedColumnFormula>
    </tableColumn>
    <tableColumn id="9" name="Ratio completed to total" dataDxfId="18" dataCellStyle="Percent">
      <calculatedColumnFormula>Table6[[#This Row],[Completed]]/SUM(Table6[[#This Row],[Initiated]:[Completed]])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4" name="Table14" displayName="Table14" ref="B3:I4" totalsRowShown="0">
  <autoFilter ref="B3:I4"/>
  <tableColumns count="8">
    <tableColumn id="1" name="Office Name"/>
    <tableColumn id="2" name="Due-date Task allotted"/>
    <tableColumn id="3" name="Initiated"/>
    <tableColumn id="4" name="Not-Initiated or carry forwarded"/>
    <tableColumn id="5" name="Completed"/>
    <tableColumn id="6" name="Ratio of Initiated to total" dataCellStyle="Percent"/>
    <tableColumn id="7" name="Ratio  of Not-initiated to total tasks" dataCellStyle="Percent"/>
    <tableColumn id="8" name="Ratio of completed to total" dataCellStyl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5" name="Table15" displayName="Table15" ref="B22:I23" totalsRowShown="0">
  <autoFilter ref="B22:I23"/>
  <tableColumns count="8">
    <tableColumn id="1" name="Office Name"/>
    <tableColumn id="2" name="Project Assignment task"/>
    <tableColumn id="3" name="Initiated"/>
    <tableColumn id="4" name="Not-Initiated or carry forwarded"/>
    <tableColumn id="5" name="Completed"/>
    <tableColumn id="6" name="Ratio Initiated to total" dataCellStyle="Percent"/>
    <tableColumn id="7" name="Ratio Not-initiated to total tasks" dataCellStyle="Percent"/>
    <tableColumn id="8" name="Ratio completed to total" dataCellStyle="Perce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Table9" displayName="Table9" ref="A4:C30" totalsRowShown="0">
  <autoFilter ref="A4:C30"/>
  <tableColumns count="3">
    <tableColumn id="1" name="Employee Name" dataDxfId="17"/>
    <tableColumn id="3" name="Leave type"/>
    <tableColumn id="6" name="Total no. of leave taken" dataDxfId="1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7" name="Table7" displayName="Table7" ref="F4:F8" totalsRowShown="0">
  <autoFilter ref="F4:F8"/>
  <tableColumns count="1">
    <tableColumn id="1" name="Abbreviation us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6" name="Table16" displayName="Table16" ref="B3:D8" totalsRowShown="0">
  <autoFilter ref="B3:D8"/>
  <tableColumns count="3">
    <tableColumn id="1" name="Leave Type"/>
    <tableColumn id="2" name="No. of days"/>
    <tableColumn id="3" name="Ratio" dataDxfId="15">
      <calculatedColumnFormula>Table16[[#This Row],[No. of days]]/C8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8" name="Table18" displayName="Table18" ref="B3:G29" totalsRowShown="0" tableBorderDxfId="14">
  <autoFilter ref="B3:G29"/>
  <tableColumns count="6">
    <tableColumn id="1" name="Employee Name" dataDxfId="13"/>
    <tableColumn id="2" name="Courses taken" dataDxfId="12"/>
    <tableColumn id="3" name="Completed courses"/>
    <tableColumn id="4" name="Pending courses" dataDxfId="11">
      <calculatedColumnFormula>Table18[[#This Row],[Courses taken]]-Table18[[#This Row],[Completed courses]]</calculatedColumnFormula>
    </tableColumn>
    <tableColumn id="5" name="Ratio of completed courses to total courses taken" dataCellStyle="Percent">
      <calculatedColumnFormula>Table18[[#This Row],[Completed courses]]/Table18[[#This Row],[Courses taken]]</calculatedColumnFormula>
    </tableColumn>
    <tableColumn id="6" name="Ratio of pending courses to total courses" dataDxfId="10" dataCellStyle="Percent">
      <calculatedColumnFormula>Table18[[#This Row],[Pending courses]]/Table18[[#This Row],[Courses taken]]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9" name="Table19" displayName="Table19" ref="I3:L8" totalsRowShown="0">
  <autoFilter ref="I3:L8"/>
  <tableColumns count="4">
    <tableColumn id="1" name="Courses"/>
    <tableColumn id="2" name="Name of Course"/>
    <tableColumn id="3" name="Fees of course"/>
    <tableColumn id="4" name="Affiliated/Not-affiliate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3" name="Table3" displayName="Table3" ref="B3:G4" totalsRowShown="0" headerRowDxfId="9" headerRowBorderDxfId="8" tableBorderDxfId="7" totalsRowBorderDxfId="6">
  <autoFilter ref="B3:G4"/>
  <tableColumns count="6">
    <tableColumn id="1" name="Office name" dataDxfId="5"/>
    <tableColumn id="2" name="Courses taken" dataDxfId="4"/>
    <tableColumn id="3" name="Completed courses" dataDxfId="3"/>
    <tableColumn id="4" name="Pending courses" dataDxfId="2"/>
    <tableColumn id="5" name="Ratio of completed courses to total courses taken" dataDxfId="1" dataCellStyle="Percent">
      <calculatedColumnFormula>Table3[Completed courses]/Table3[Courses taken]</calculatedColumnFormula>
    </tableColumn>
    <tableColumn id="6" name="Ratio of pending courses to total courses" dataDxfId="0" dataCellStyle="Percent">
      <calculatedColumnFormula>Table3[Pending courses]/Table3[Courses taken]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B2" sqref="B2"/>
    </sheetView>
  </sheetViews>
  <sheetFormatPr defaultRowHeight="15" x14ac:dyDescent="0.25"/>
  <cols>
    <col min="2" max="2" width="17.42578125" customWidth="1"/>
    <col min="3" max="3" width="18" customWidth="1"/>
    <col min="4" max="4" width="19.85546875" customWidth="1"/>
    <col min="5" max="5" width="17.5703125" customWidth="1"/>
    <col min="6" max="6" width="11" bestFit="1" customWidth="1"/>
  </cols>
  <sheetData>
    <row r="1" spans="1:6" x14ac:dyDescent="0.25">
      <c r="B1" t="s">
        <v>91</v>
      </c>
    </row>
    <row r="2" spans="1:6" x14ac:dyDescent="0.25">
      <c r="A2" t="s">
        <v>56</v>
      </c>
      <c r="C2" s="1"/>
    </row>
    <row r="3" spans="1:6" x14ac:dyDescent="0.25">
      <c r="B3" s="2" t="s">
        <v>0</v>
      </c>
      <c r="C3" s="2" t="s">
        <v>1</v>
      </c>
      <c r="D3" s="2" t="s">
        <v>38</v>
      </c>
      <c r="E3" s="2" t="s">
        <v>39</v>
      </c>
      <c r="F3" s="2" t="s">
        <v>40</v>
      </c>
    </row>
    <row r="4" spans="1:6" x14ac:dyDescent="0.25">
      <c r="B4" s="1" t="s">
        <v>2</v>
      </c>
      <c r="C4">
        <v>50</v>
      </c>
      <c r="D4">
        <v>38</v>
      </c>
      <c r="E4">
        <f>Table1[[#This Row],[Enquiry received]]-Table1[[#This Row],[Enquiry Converted]]</f>
        <v>12</v>
      </c>
      <c r="F4" s="3">
        <f>Table1[[#This Row],[Enquiry Converted]]/Table1[[#This Row],[Enquiry received]]</f>
        <v>0.76</v>
      </c>
    </row>
    <row r="5" spans="1:6" x14ac:dyDescent="0.25">
      <c r="B5" s="1" t="s">
        <v>3</v>
      </c>
      <c r="C5">
        <v>20</v>
      </c>
      <c r="D5">
        <v>17</v>
      </c>
      <c r="E5">
        <f>Table1[[#This Row],[Enquiry received]]-Table1[[#This Row],[Enquiry Converted]]</f>
        <v>3</v>
      </c>
      <c r="F5" s="3">
        <f>Table1[[#This Row],[Enquiry Converted]]/Table1[[#This Row],[Enquiry received]]</f>
        <v>0.85</v>
      </c>
    </row>
    <row r="6" spans="1:6" x14ac:dyDescent="0.25">
      <c r="B6" s="1" t="s">
        <v>4</v>
      </c>
      <c r="C6">
        <v>40</v>
      </c>
      <c r="D6">
        <v>31</v>
      </c>
      <c r="E6">
        <f>Table1[[#This Row],[Enquiry received]]-Table1[[#This Row],[Enquiry Converted]]</f>
        <v>9</v>
      </c>
      <c r="F6" s="3">
        <f>Table1[[#This Row],[Enquiry Converted]]/Table1[[#This Row],[Enquiry received]]</f>
        <v>0.77500000000000002</v>
      </c>
    </row>
    <row r="7" spans="1:6" x14ac:dyDescent="0.25">
      <c r="B7" s="1" t="s">
        <v>5</v>
      </c>
      <c r="C7">
        <v>60</v>
      </c>
      <c r="D7">
        <v>52</v>
      </c>
      <c r="E7">
        <f>Table1[[#This Row],[Enquiry received]]-Table1[[#This Row],[Enquiry Converted]]</f>
        <v>8</v>
      </c>
      <c r="F7" s="3">
        <f>Table1[[#This Row],[Enquiry Converted]]/Table1[[#This Row],[Enquiry received]]</f>
        <v>0.8666666666666667</v>
      </c>
    </row>
    <row r="8" spans="1:6" x14ac:dyDescent="0.25">
      <c r="B8" s="1" t="s">
        <v>6</v>
      </c>
      <c r="C8">
        <v>45</v>
      </c>
      <c r="D8">
        <v>30</v>
      </c>
      <c r="E8">
        <f>Table1[[#This Row],[Enquiry received]]-Table1[[#This Row],[Enquiry Converted]]</f>
        <v>15</v>
      </c>
      <c r="F8" s="3">
        <f>Table1[[#This Row],[Enquiry Converted]]/Table1[[#This Row],[Enquiry received]]</f>
        <v>0.66666666666666663</v>
      </c>
    </row>
    <row r="9" spans="1:6" x14ac:dyDescent="0.25">
      <c r="B9" s="1" t="s">
        <v>7</v>
      </c>
      <c r="C9">
        <v>35</v>
      </c>
      <c r="D9">
        <v>33</v>
      </c>
      <c r="E9">
        <f>Table1[[#This Row],[Enquiry received]]-Table1[[#This Row],[Enquiry Converted]]</f>
        <v>2</v>
      </c>
      <c r="F9" s="3">
        <f>Table1[[#This Row],[Enquiry Converted]]/Table1[[#This Row],[Enquiry received]]</f>
        <v>0.94285714285714284</v>
      </c>
    </row>
    <row r="10" spans="1:6" x14ac:dyDescent="0.25">
      <c r="B10" s="1" t="s">
        <v>13</v>
      </c>
      <c r="C10">
        <v>33</v>
      </c>
      <c r="D10">
        <v>20</v>
      </c>
      <c r="E10">
        <f>Table1[[#This Row],[Enquiry received]]-Table1[[#This Row],[Enquiry Converted]]</f>
        <v>13</v>
      </c>
      <c r="F10" s="3">
        <f>Table1[[#This Row],[Enquiry Converted]]/Table1[[#This Row],[Enquiry received]]</f>
        <v>0.60606060606060608</v>
      </c>
    </row>
    <row r="11" spans="1:6" x14ac:dyDescent="0.25">
      <c r="B11" s="1" t="s">
        <v>14</v>
      </c>
      <c r="C11">
        <v>53</v>
      </c>
      <c r="D11">
        <v>44</v>
      </c>
      <c r="E11">
        <f>Table1[[#This Row],[Enquiry received]]-Table1[[#This Row],[Enquiry Converted]]</f>
        <v>9</v>
      </c>
      <c r="F11" s="3">
        <f>Table1[[#This Row],[Enquiry Converted]]/Table1[[#This Row],[Enquiry received]]</f>
        <v>0.83018867924528306</v>
      </c>
    </row>
    <row r="12" spans="1:6" x14ac:dyDescent="0.25">
      <c r="B12" s="1" t="s">
        <v>15</v>
      </c>
      <c r="C12">
        <v>33</v>
      </c>
      <c r="D12">
        <v>30</v>
      </c>
      <c r="E12">
        <f>Table1[[#This Row],[Enquiry received]]-Table1[[#This Row],[Enquiry Converted]]</f>
        <v>3</v>
      </c>
      <c r="F12" s="3">
        <f>Table1[[#This Row],[Enquiry Converted]]/Table1[[#This Row],[Enquiry received]]</f>
        <v>0.90909090909090906</v>
      </c>
    </row>
    <row r="13" spans="1:6" x14ac:dyDescent="0.25">
      <c r="B13" s="1" t="s">
        <v>16</v>
      </c>
      <c r="C13">
        <v>19</v>
      </c>
      <c r="D13">
        <v>14</v>
      </c>
      <c r="E13">
        <f>Table1[[#This Row],[Enquiry received]]-Table1[[#This Row],[Enquiry Converted]]</f>
        <v>5</v>
      </c>
      <c r="F13" s="3">
        <f>Table1[[#This Row],[Enquiry Converted]]/Table1[[#This Row],[Enquiry received]]</f>
        <v>0.73684210526315785</v>
      </c>
    </row>
    <row r="14" spans="1:6" x14ac:dyDescent="0.25">
      <c r="B14" s="1" t="s">
        <v>17</v>
      </c>
      <c r="C14">
        <v>22</v>
      </c>
      <c r="D14">
        <v>16</v>
      </c>
      <c r="E14">
        <f>Table1[[#This Row],[Enquiry received]]-Table1[[#This Row],[Enquiry Converted]]</f>
        <v>6</v>
      </c>
      <c r="F14" s="3">
        <f>Table1[[#This Row],[Enquiry Converted]]/Table1[[#This Row],[Enquiry received]]</f>
        <v>0.72727272727272729</v>
      </c>
    </row>
    <row r="15" spans="1:6" x14ac:dyDescent="0.25">
      <c r="B15" s="1" t="s">
        <v>18</v>
      </c>
      <c r="C15">
        <v>46</v>
      </c>
      <c r="D15">
        <v>45</v>
      </c>
      <c r="E15">
        <f>Table1[[#This Row],[Enquiry received]]-Table1[[#This Row],[Enquiry Converted]]</f>
        <v>1</v>
      </c>
      <c r="F15" s="3">
        <f>Table1[[#This Row],[Enquiry Converted]]/Table1[[#This Row],[Enquiry received]]</f>
        <v>0.97826086956521741</v>
      </c>
    </row>
    <row r="16" spans="1:6" x14ac:dyDescent="0.25">
      <c r="B16" s="1" t="s">
        <v>19</v>
      </c>
      <c r="C16">
        <v>5</v>
      </c>
      <c r="D16">
        <v>4</v>
      </c>
      <c r="E16">
        <f>Table1[[#This Row],[Enquiry received]]-Table1[[#This Row],[Enquiry Converted]]</f>
        <v>1</v>
      </c>
      <c r="F16" s="3">
        <f>Table1[[#This Row],[Enquiry Converted]]/Table1[[#This Row],[Enquiry received]]</f>
        <v>0.8</v>
      </c>
    </row>
    <row r="17" spans="2:6" x14ac:dyDescent="0.25">
      <c r="B17" s="1" t="s">
        <v>20</v>
      </c>
      <c r="C17">
        <v>50</v>
      </c>
      <c r="D17">
        <v>49</v>
      </c>
      <c r="E17">
        <f>Table1[[#This Row],[Enquiry received]]-Table1[[#This Row],[Enquiry Converted]]</f>
        <v>1</v>
      </c>
      <c r="F17" s="3">
        <f>Table1[[#This Row],[Enquiry Converted]]/Table1[[#This Row],[Enquiry received]]</f>
        <v>0.98</v>
      </c>
    </row>
    <row r="18" spans="2:6" x14ac:dyDescent="0.25">
      <c r="B18" s="1" t="s">
        <v>21</v>
      </c>
      <c r="C18">
        <v>39</v>
      </c>
      <c r="D18">
        <v>37</v>
      </c>
      <c r="E18">
        <f>Table1[[#This Row],[Enquiry received]]-Table1[[#This Row],[Enquiry Converted]]</f>
        <v>2</v>
      </c>
      <c r="F18" s="3">
        <f>Table1[[#This Row],[Enquiry Converted]]/Table1[[#This Row],[Enquiry received]]</f>
        <v>0.94871794871794868</v>
      </c>
    </row>
    <row r="19" spans="2:6" x14ac:dyDescent="0.25">
      <c r="B19" s="1" t="s">
        <v>22</v>
      </c>
      <c r="C19">
        <v>10</v>
      </c>
      <c r="D19">
        <v>7</v>
      </c>
      <c r="E19">
        <f>Table1[[#This Row],[Enquiry received]]-Table1[[#This Row],[Enquiry Converted]]</f>
        <v>3</v>
      </c>
      <c r="F19" s="3">
        <f>Table1[[#This Row],[Enquiry Converted]]/Table1[[#This Row],[Enquiry received]]</f>
        <v>0.7</v>
      </c>
    </row>
    <row r="20" spans="2:6" x14ac:dyDescent="0.25">
      <c r="B20" s="1" t="s">
        <v>23</v>
      </c>
      <c r="C20">
        <v>60</v>
      </c>
      <c r="D20">
        <v>30</v>
      </c>
      <c r="E20">
        <f>Table1[[#This Row],[Enquiry received]]-Table1[[#This Row],[Enquiry Converted]]</f>
        <v>30</v>
      </c>
      <c r="F20" s="3">
        <f>Table1[[#This Row],[Enquiry Converted]]/Table1[[#This Row],[Enquiry received]]</f>
        <v>0.5</v>
      </c>
    </row>
    <row r="21" spans="2:6" x14ac:dyDescent="0.25">
      <c r="B21" s="1" t="s">
        <v>24</v>
      </c>
      <c r="C21">
        <v>35</v>
      </c>
      <c r="D21">
        <v>28</v>
      </c>
      <c r="E21">
        <f>Table1[[#This Row],[Enquiry received]]-Table1[[#This Row],[Enquiry Converted]]</f>
        <v>7</v>
      </c>
      <c r="F21" s="3">
        <f>Table1[[#This Row],[Enquiry Converted]]/Table1[[#This Row],[Enquiry received]]</f>
        <v>0.8</v>
      </c>
    </row>
    <row r="22" spans="2:6" x14ac:dyDescent="0.25">
      <c r="B22" s="1" t="s">
        <v>25</v>
      </c>
      <c r="C22">
        <v>26</v>
      </c>
      <c r="D22">
        <v>24</v>
      </c>
      <c r="E22">
        <f>Table1[[#This Row],[Enquiry received]]-Table1[[#This Row],[Enquiry Converted]]</f>
        <v>2</v>
      </c>
      <c r="F22" s="3">
        <f>Table1[[#This Row],[Enquiry Converted]]/Table1[[#This Row],[Enquiry received]]</f>
        <v>0.92307692307692313</v>
      </c>
    </row>
    <row r="23" spans="2:6" x14ac:dyDescent="0.25">
      <c r="B23" s="1" t="s">
        <v>26</v>
      </c>
      <c r="C23">
        <v>45</v>
      </c>
      <c r="D23">
        <v>43</v>
      </c>
      <c r="E23">
        <f>Table1[[#This Row],[Enquiry received]]-Table1[[#This Row],[Enquiry Converted]]</f>
        <v>2</v>
      </c>
      <c r="F23" s="3">
        <f>Table1[[#This Row],[Enquiry Converted]]/Table1[[#This Row],[Enquiry received]]</f>
        <v>0.9555555555555556</v>
      </c>
    </row>
    <row r="24" spans="2:6" x14ac:dyDescent="0.25">
      <c r="B24" s="1" t="s">
        <v>27</v>
      </c>
      <c r="C24">
        <v>38</v>
      </c>
      <c r="D24">
        <v>32</v>
      </c>
      <c r="E24">
        <f>Table1[[#This Row],[Enquiry received]]-Table1[[#This Row],[Enquiry Converted]]</f>
        <v>6</v>
      </c>
      <c r="F24" s="3">
        <f>Table1[[#This Row],[Enquiry Converted]]/Table1[[#This Row],[Enquiry received]]</f>
        <v>0.84210526315789469</v>
      </c>
    </row>
    <row r="25" spans="2:6" x14ac:dyDescent="0.25">
      <c r="B25" s="1" t="s">
        <v>28</v>
      </c>
      <c r="C25">
        <v>66</v>
      </c>
      <c r="D25">
        <v>50</v>
      </c>
      <c r="E25">
        <f>Table1[[#This Row],[Enquiry received]]-Table1[[#This Row],[Enquiry Converted]]</f>
        <v>16</v>
      </c>
      <c r="F25" s="3">
        <f>Table1[[#This Row],[Enquiry Converted]]/Table1[[#This Row],[Enquiry received]]</f>
        <v>0.75757575757575757</v>
      </c>
    </row>
    <row r="26" spans="2:6" x14ac:dyDescent="0.25">
      <c r="B26" s="1" t="s">
        <v>29</v>
      </c>
      <c r="C26">
        <v>48</v>
      </c>
      <c r="D26">
        <v>41</v>
      </c>
      <c r="E26">
        <f>Table1[[#This Row],[Enquiry received]]-Table1[[#This Row],[Enquiry Converted]]</f>
        <v>7</v>
      </c>
      <c r="F26" s="3">
        <f>Table1[[#This Row],[Enquiry Converted]]/Table1[[#This Row],[Enquiry received]]</f>
        <v>0.85416666666666663</v>
      </c>
    </row>
    <row r="27" spans="2:6" x14ac:dyDescent="0.25">
      <c r="B27" s="1" t="s">
        <v>30</v>
      </c>
      <c r="C27">
        <v>37</v>
      </c>
      <c r="D27">
        <v>35</v>
      </c>
      <c r="E27">
        <f>Table1[[#This Row],[Enquiry received]]-Table1[[#This Row],[Enquiry Converted]]</f>
        <v>2</v>
      </c>
      <c r="F27" s="3">
        <f>Table1[[#This Row],[Enquiry Converted]]/Table1[[#This Row],[Enquiry received]]</f>
        <v>0.94594594594594594</v>
      </c>
    </row>
    <row r="28" spans="2:6" x14ac:dyDescent="0.25">
      <c r="B28" s="1" t="s">
        <v>31</v>
      </c>
      <c r="C28">
        <v>26</v>
      </c>
      <c r="D28">
        <v>15</v>
      </c>
      <c r="E28">
        <f>Table1[[#This Row],[Enquiry received]]-Table1[[#This Row],[Enquiry Converted]]</f>
        <v>11</v>
      </c>
      <c r="F28" s="3">
        <f>Table1[[#This Row],[Enquiry Converted]]/Table1[[#This Row],[Enquiry received]]</f>
        <v>0.57692307692307687</v>
      </c>
    </row>
    <row r="29" spans="2:6" x14ac:dyDescent="0.25">
      <c r="B29" s="1" t="s">
        <v>32</v>
      </c>
      <c r="C29">
        <v>36</v>
      </c>
      <c r="D29">
        <v>25</v>
      </c>
      <c r="E29">
        <f>Table1[[#This Row],[Enquiry received]]-Table1[[#This Row],[Enquiry Converted]]</f>
        <v>11</v>
      </c>
      <c r="F29" s="3">
        <f>Table1[[#This Row],[Enquiry Converted]]/Table1[[#This Row],[Enquiry received]]</f>
        <v>0.69444444444444442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opLeftCell="A7" workbookViewId="0">
      <selection activeCell="H15" sqref="H15"/>
    </sheetView>
  </sheetViews>
  <sheetFormatPr defaultRowHeight="15" x14ac:dyDescent="0.25"/>
  <cols>
    <col min="2" max="2" width="17.42578125" customWidth="1"/>
    <col min="3" max="3" width="18" customWidth="1"/>
    <col min="4" max="4" width="19.5703125" customWidth="1"/>
    <col min="5" max="5" width="12.5703125" customWidth="1"/>
    <col min="6" max="6" width="10.85546875" customWidth="1"/>
  </cols>
  <sheetData>
    <row r="1" spans="2:6" x14ac:dyDescent="0.25">
      <c r="B1" t="s">
        <v>92</v>
      </c>
    </row>
    <row r="3" spans="2:6" x14ac:dyDescent="0.25">
      <c r="B3" t="s">
        <v>54</v>
      </c>
      <c r="C3" t="s">
        <v>1</v>
      </c>
      <c r="D3" t="s">
        <v>38</v>
      </c>
      <c r="E3" t="s">
        <v>39</v>
      </c>
      <c r="F3" t="s">
        <v>40</v>
      </c>
    </row>
    <row r="4" spans="2:6" x14ac:dyDescent="0.25">
      <c r="B4" t="s">
        <v>55</v>
      </c>
      <c r="C4">
        <v>977</v>
      </c>
      <c r="D4">
        <v>790</v>
      </c>
      <c r="E4">
        <v>187</v>
      </c>
      <c r="F4" s="3">
        <v>0.80859774820880248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9"/>
  <sheetViews>
    <sheetView tabSelected="1" topLeftCell="D1" workbookViewId="0">
      <selection activeCell="I57" sqref="I57"/>
    </sheetView>
  </sheetViews>
  <sheetFormatPr defaultRowHeight="15" x14ac:dyDescent="0.25"/>
  <cols>
    <col min="2" max="2" width="17.7109375" customWidth="1"/>
    <col min="3" max="3" width="23" customWidth="1"/>
    <col min="4" max="4" width="26.5703125" customWidth="1"/>
    <col min="5" max="6" width="27.28515625" customWidth="1"/>
    <col min="7" max="7" width="31.42578125" customWidth="1"/>
    <col min="10" max="10" width="23.28515625" bestFit="1" customWidth="1"/>
  </cols>
  <sheetData>
    <row r="1" spans="2:11" x14ac:dyDescent="0.25">
      <c r="B1" t="s">
        <v>80</v>
      </c>
    </row>
    <row r="3" spans="2:11" ht="75" x14ac:dyDescent="0.25">
      <c r="B3" s="1" t="s">
        <v>8</v>
      </c>
      <c r="C3" s="1" t="s">
        <v>79</v>
      </c>
      <c r="D3" s="1" t="s">
        <v>11</v>
      </c>
      <c r="E3" s="1" t="s">
        <v>33</v>
      </c>
      <c r="F3" s="1" t="s">
        <v>35</v>
      </c>
      <c r="G3" s="1" t="s">
        <v>37</v>
      </c>
      <c r="H3" s="1" t="s">
        <v>10</v>
      </c>
      <c r="I3" s="1" t="s">
        <v>12</v>
      </c>
      <c r="J3" s="1" t="s">
        <v>34</v>
      </c>
      <c r="K3" s="1" t="s">
        <v>36</v>
      </c>
    </row>
    <row r="4" spans="2:11" x14ac:dyDescent="0.25">
      <c r="B4" s="1" t="s">
        <v>2</v>
      </c>
      <c r="C4" s="1">
        <v>29</v>
      </c>
      <c r="D4" s="1">
        <v>4</v>
      </c>
      <c r="E4" s="1">
        <v>25</v>
      </c>
      <c r="F4" s="4">
        <v>0.13793103448275862</v>
      </c>
      <c r="G4" s="1" t="s">
        <v>2</v>
      </c>
      <c r="H4" s="1">
        <v>11</v>
      </c>
      <c r="I4" s="1">
        <v>6</v>
      </c>
      <c r="J4" s="5">
        <v>5</v>
      </c>
      <c r="K4" s="4">
        <v>0.54545454545454541</v>
      </c>
    </row>
    <row r="5" spans="2:11" x14ac:dyDescent="0.25">
      <c r="B5" s="1" t="s">
        <v>3</v>
      </c>
      <c r="C5" s="1">
        <v>14</v>
      </c>
      <c r="D5" s="1">
        <v>5</v>
      </c>
      <c r="E5" s="1">
        <v>9</v>
      </c>
      <c r="F5" s="4">
        <v>0.35714285714285715</v>
      </c>
      <c r="G5" s="1" t="s">
        <v>3</v>
      </c>
      <c r="H5" s="1">
        <v>25</v>
      </c>
      <c r="I5" s="1">
        <v>6</v>
      </c>
      <c r="J5" s="5">
        <v>19</v>
      </c>
      <c r="K5" s="4">
        <v>0.24</v>
      </c>
    </row>
    <row r="6" spans="2:11" x14ac:dyDescent="0.25">
      <c r="B6" s="1" t="s">
        <v>4</v>
      </c>
      <c r="C6" s="1">
        <v>8</v>
      </c>
      <c r="D6" s="1">
        <v>7</v>
      </c>
      <c r="E6" s="1">
        <v>1</v>
      </c>
      <c r="F6" s="4">
        <v>0.875</v>
      </c>
      <c r="G6" s="1" t="s">
        <v>4</v>
      </c>
      <c r="H6" s="1">
        <v>6</v>
      </c>
      <c r="I6" s="1">
        <v>4</v>
      </c>
      <c r="J6" s="5">
        <v>2</v>
      </c>
      <c r="K6" s="4">
        <v>0.66666666666666663</v>
      </c>
    </row>
    <row r="7" spans="2:11" x14ac:dyDescent="0.25">
      <c r="B7" s="1" t="s">
        <v>5</v>
      </c>
      <c r="C7" s="1">
        <v>15</v>
      </c>
      <c r="D7" s="1">
        <v>8</v>
      </c>
      <c r="E7" s="1">
        <v>7</v>
      </c>
      <c r="F7" s="4">
        <v>0.53333333333333333</v>
      </c>
      <c r="G7" s="1" t="s">
        <v>5</v>
      </c>
      <c r="H7" s="1">
        <v>0</v>
      </c>
      <c r="I7" s="1">
        <v>0</v>
      </c>
      <c r="J7" s="5">
        <v>0</v>
      </c>
      <c r="K7" s="4">
        <v>0</v>
      </c>
    </row>
    <row r="8" spans="2:11" x14ac:dyDescent="0.25">
      <c r="B8" s="1" t="s">
        <v>6</v>
      </c>
      <c r="C8" s="1">
        <v>23</v>
      </c>
      <c r="D8" s="1">
        <v>3</v>
      </c>
      <c r="E8" s="1">
        <v>20</v>
      </c>
      <c r="F8" s="4">
        <v>0.13043478260869565</v>
      </c>
      <c r="G8" s="1" t="s">
        <v>6</v>
      </c>
      <c r="H8" s="1">
        <v>2</v>
      </c>
      <c r="I8" s="1">
        <v>1</v>
      </c>
      <c r="J8" s="5">
        <v>1</v>
      </c>
      <c r="K8" s="4">
        <v>0.5</v>
      </c>
    </row>
    <row r="9" spans="2:11" x14ac:dyDescent="0.25">
      <c r="B9" s="1" t="s">
        <v>7</v>
      </c>
      <c r="C9" s="1">
        <v>15</v>
      </c>
      <c r="D9" s="1">
        <v>5</v>
      </c>
      <c r="E9" s="1">
        <v>10</v>
      </c>
      <c r="F9" s="4">
        <v>0.33333333333333331</v>
      </c>
      <c r="G9" s="1" t="s">
        <v>7</v>
      </c>
      <c r="H9" s="1">
        <v>3</v>
      </c>
      <c r="I9" s="1">
        <v>2</v>
      </c>
      <c r="J9" s="5">
        <v>1</v>
      </c>
      <c r="K9" s="4">
        <v>0.66666666666666663</v>
      </c>
    </row>
    <row r="10" spans="2:11" x14ac:dyDescent="0.25">
      <c r="B10" s="1" t="s">
        <v>13</v>
      </c>
      <c r="C10" s="1">
        <v>20</v>
      </c>
      <c r="D10" s="1">
        <v>10</v>
      </c>
      <c r="E10" s="1">
        <v>10</v>
      </c>
      <c r="F10" s="4">
        <v>0.5</v>
      </c>
      <c r="G10" s="1" t="s">
        <v>13</v>
      </c>
      <c r="H10" s="1">
        <v>27</v>
      </c>
      <c r="I10" s="1">
        <v>20</v>
      </c>
      <c r="J10" s="5">
        <v>7</v>
      </c>
      <c r="K10" s="4">
        <v>0.7407407407407407</v>
      </c>
    </row>
    <row r="11" spans="2:11" x14ac:dyDescent="0.25">
      <c r="B11" s="1" t="s">
        <v>14</v>
      </c>
      <c r="C11" s="1">
        <v>1</v>
      </c>
      <c r="D11" s="1">
        <v>0</v>
      </c>
      <c r="E11" s="1">
        <v>1</v>
      </c>
      <c r="F11" s="4">
        <v>0</v>
      </c>
      <c r="G11" s="1" t="s">
        <v>14</v>
      </c>
      <c r="H11" s="1">
        <v>4</v>
      </c>
      <c r="I11" s="1">
        <v>2</v>
      </c>
      <c r="J11" s="5">
        <v>2</v>
      </c>
      <c r="K11" s="4">
        <v>0.5</v>
      </c>
    </row>
    <row r="12" spans="2:11" x14ac:dyDescent="0.25">
      <c r="B12" s="1" t="s">
        <v>15</v>
      </c>
      <c r="C12" s="1">
        <v>23</v>
      </c>
      <c r="D12" s="1">
        <v>7</v>
      </c>
      <c r="E12" s="1">
        <v>16</v>
      </c>
      <c r="F12" s="4">
        <v>0.30434782608695654</v>
      </c>
      <c r="G12" s="1" t="s">
        <v>15</v>
      </c>
      <c r="H12" s="1">
        <v>25</v>
      </c>
      <c r="I12" s="1">
        <v>15</v>
      </c>
      <c r="J12" s="5">
        <v>10</v>
      </c>
      <c r="K12" s="4">
        <v>0.6</v>
      </c>
    </row>
    <row r="13" spans="2:11" x14ac:dyDescent="0.25">
      <c r="B13" s="1" t="s">
        <v>16</v>
      </c>
      <c r="C13" s="1">
        <v>18</v>
      </c>
      <c r="D13" s="1">
        <v>10</v>
      </c>
      <c r="E13" s="1">
        <v>8</v>
      </c>
      <c r="F13" s="4">
        <v>0.55555555555555558</v>
      </c>
      <c r="G13" s="1" t="s">
        <v>16</v>
      </c>
      <c r="H13" s="1">
        <v>18</v>
      </c>
      <c r="I13" s="1">
        <v>0</v>
      </c>
      <c r="J13" s="5">
        <v>18</v>
      </c>
      <c r="K13" s="4">
        <v>0</v>
      </c>
    </row>
    <row r="14" spans="2:11" x14ac:dyDescent="0.25">
      <c r="B14" s="1" t="s">
        <v>17</v>
      </c>
      <c r="C14" s="1">
        <v>22</v>
      </c>
      <c r="D14" s="1">
        <v>6</v>
      </c>
      <c r="E14" s="1">
        <v>16</v>
      </c>
      <c r="F14" s="4">
        <v>0.27272727272727271</v>
      </c>
      <c r="G14" s="1" t="s">
        <v>17</v>
      </c>
      <c r="H14" s="1">
        <v>28</v>
      </c>
      <c r="I14" s="1">
        <v>8</v>
      </c>
      <c r="J14" s="5">
        <v>20</v>
      </c>
      <c r="K14" s="4">
        <v>0.2857142857142857</v>
      </c>
    </row>
    <row r="15" spans="2:11" x14ac:dyDescent="0.25">
      <c r="B15" s="1" t="s">
        <v>18</v>
      </c>
      <c r="C15" s="1">
        <v>11</v>
      </c>
      <c r="D15" s="1">
        <v>5</v>
      </c>
      <c r="E15" s="1">
        <v>6</v>
      </c>
      <c r="F15" s="4">
        <v>0.45454545454545453</v>
      </c>
      <c r="G15" s="1" t="s">
        <v>18</v>
      </c>
      <c r="H15" s="1">
        <v>2</v>
      </c>
      <c r="I15" s="1">
        <v>1</v>
      </c>
      <c r="J15" s="5">
        <v>1</v>
      </c>
      <c r="K15" s="4">
        <v>0.5</v>
      </c>
    </row>
    <row r="16" spans="2:11" x14ac:dyDescent="0.25">
      <c r="B16" s="1" t="s">
        <v>19</v>
      </c>
      <c r="C16" s="1">
        <v>14</v>
      </c>
      <c r="D16" s="1">
        <v>7</v>
      </c>
      <c r="E16" s="1">
        <v>7</v>
      </c>
      <c r="F16" s="4">
        <v>0.5</v>
      </c>
      <c r="G16" s="1" t="s">
        <v>19</v>
      </c>
      <c r="H16" s="1">
        <v>22</v>
      </c>
      <c r="I16" s="1">
        <v>18</v>
      </c>
      <c r="J16" s="5">
        <v>4</v>
      </c>
      <c r="K16" s="4">
        <v>0.81818181818181823</v>
      </c>
    </row>
    <row r="17" spans="2:11" x14ac:dyDescent="0.25">
      <c r="B17" s="1" t="s">
        <v>20</v>
      </c>
      <c r="C17" s="1">
        <v>21</v>
      </c>
      <c r="D17" s="1">
        <v>15</v>
      </c>
      <c r="E17" s="1">
        <v>6</v>
      </c>
      <c r="F17" s="4">
        <v>0.7142857142857143</v>
      </c>
      <c r="G17" s="1" t="s">
        <v>20</v>
      </c>
      <c r="H17" s="1">
        <v>27</v>
      </c>
      <c r="I17" s="1">
        <v>7</v>
      </c>
      <c r="J17" s="5">
        <v>20</v>
      </c>
      <c r="K17" s="4">
        <v>0.25925925925925924</v>
      </c>
    </row>
    <row r="18" spans="2:11" x14ac:dyDescent="0.25">
      <c r="B18" s="1" t="s">
        <v>21</v>
      </c>
      <c r="C18" s="1">
        <v>19</v>
      </c>
      <c r="D18" s="1">
        <v>10</v>
      </c>
      <c r="E18" s="1">
        <v>9</v>
      </c>
      <c r="F18" s="4">
        <v>0.52631578947368418</v>
      </c>
      <c r="G18" s="1" t="s">
        <v>21</v>
      </c>
      <c r="H18" s="1">
        <v>11</v>
      </c>
      <c r="I18" s="1">
        <v>10</v>
      </c>
      <c r="J18" s="5">
        <v>1</v>
      </c>
      <c r="K18" s="4">
        <v>0.90909090909090906</v>
      </c>
    </row>
    <row r="19" spans="2:11" x14ac:dyDescent="0.25">
      <c r="B19" s="1" t="s">
        <v>22</v>
      </c>
      <c r="C19" s="1">
        <v>11</v>
      </c>
      <c r="D19" s="1">
        <v>6</v>
      </c>
      <c r="E19" s="1">
        <v>5</v>
      </c>
      <c r="F19" s="4">
        <v>0.54545454545454541</v>
      </c>
      <c r="G19" s="1" t="s">
        <v>22</v>
      </c>
      <c r="H19" s="1">
        <v>1</v>
      </c>
      <c r="I19" s="1">
        <v>0</v>
      </c>
      <c r="J19" s="5">
        <v>1</v>
      </c>
      <c r="K19" s="4">
        <v>0</v>
      </c>
    </row>
    <row r="20" spans="2:11" x14ac:dyDescent="0.25">
      <c r="B20" s="1" t="s">
        <v>23</v>
      </c>
      <c r="C20" s="1">
        <v>19</v>
      </c>
      <c r="D20" s="1">
        <v>19</v>
      </c>
      <c r="E20" s="1">
        <v>0</v>
      </c>
      <c r="F20" s="4">
        <v>1</v>
      </c>
      <c r="G20" s="1" t="s">
        <v>23</v>
      </c>
      <c r="H20" s="1">
        <v>9</v>
      </c>
      <c r="I20" s="1">
        <v>4</v>
      </c>
      <c r="J20" s="5">
        <v>5</v>
      </c>
      <c r="K20" s="4">
        <v>0.44444444444444442</v>
      </c>
    </row>
    <row r="21" spans="2:11" x14ac:dyDescent="0.25">
      <c r="B21" s="1" t="s">
        <v>24</v>
      </c>
      <c r="C21" s="1">
        <v>0</v>
      </c>
      <c r="D21" s="1">
        <v>0</v>
      </c>
      <c r="E21" s="1">
        <v>0</v>
      </c>
      <c r="F21" s="4">
        <v>0</v>
      </c>
      <c r="G21" s="1" t="s">
        <v>24</v>
      </c>
      <c r="H21" s="1">
        <v>8</v>
      </c>
      <c r="I21" s="1">
        <v>8</v>
      </c>
      <c r="J21" s="5">
        <v>0</v>
      </c>
      <c r="K21" s="4">
        <v>1</v>
      </c>
    </row>
    <row r="22" spans="2:11" x14ac:dyDescent="0.25">
      <c r="B22" s="1" t="s">
        <v>25</v>
      </c>
      <c r="C22" s="1">
        <v>4</v>
      </c>
      <c r="D22" s="1">
        <v>2</v>
      </c>
      <c r="E22" s="1">
        <v>2</v>
      </c>
      <c r="F22" s="4">
        <v>0.5</v>
      </c>
      <c r="G22" s="1" t="s">
        <v>25</v>
      </c>
      <c r="H22" s="1">
        <v>22</v>
      </c>
      <c r="I22" s="1">
        <v>19</v>
      </c>
      <c r="J22" s="5">
        <v>3</v>
      </c>
      <c r="K22" s="4">
        <v>0.86363636363636365</v>
      </c>
    </row>
    <row r="23" spans="2:11" x14ac:dyDescent="0.25">
      <c r="B23" s="1" t="s">
        <v>26</v>
      </c>
      <c r="C23" s="1">
        <v>28</v>
      </c>
      <c r="D23" s="1">
        <v>20</v>
      </c>
      <c r="E23" s="1">
        <v>8</v>
      </c>
      <c r="F23" s="4">
        <v>0.7142857142857143</v>
      </c>
      <c r="G23" s="1" t="s">
        <v>26</v>
      </c>
      <c r="H23" s="1">
        <v>6</v>
      </c>
      <c r="I23" s="1">
        <v>4</v>
      </c>
      <c r="J23" s="5">
        <v>2</v>
      </c>
      <c r="K23" s="4">
        <v>0.66666666666666663</v>
      </c>
    </row>
    <row r="24" spans="2:11" x14ac:dyDescent="0.25">
      <c r="B24" s="1" t="s">
        <v>27</v>
      </c>
      <c r="C24" s="1">
        <v>23</v>
      </c>
      <c r="D24" s="1">
        <v>20</v>
      </c>
      <c r="E24" s="1">
        <v>3</v>
      </c>
      <c r="F24" s="4">
        <v>0.86956521739130432</v>
      </c>
      <c r="G24" s="1" t="s">
        <v>27</v>
      </c>
      <c r="H24" s="1">
        <v>16</v>
      </c>
      <c r="I24" s="1">
        <v>10</v>
      </c>
      <c r="J24" s="5">
        <v>6</v>
      </c>
      <c r="K24" s="4">
        <v>0.625</v>
      </c>
    </row>
    <row r="25" spans="2:11" x14ac:dyDescent="0.25">
      <c r="B25" s="1" t="s">
        <v>28</v>
      </c>
      <c r="C25" s="1">
        <v>4</v>
      </c>
      <c r="D25" s="1">
        <v>3</v>
      </c>
      <c r="E25" s="1">
        <v>1</v>
      </c>
      <c r="F25" s="4">
        <v>0.75</v>
      </c>
      <c r="G25" s="1" t="s">
        <v>28</v>
      </c>
      <c r="H25" s="1">
        <v>19</v>
      </c>
      <c r="I25" s="1">
        <v>9</v>
      </c>
      <c r="J25" s="5">
        <v>10</v>
      </c>
      <c r="K25" s="4">
        <v>0.47368421052631576</v>
      </c>
    </row>
    <row r="26" spans="2:11" x14ac:dyDescent="0.25">
      <c r="B26" s="1" t="s">
        <v>29</v>
      </c>
      <c r="C26" s="1">
        <v>23</v>
      </c>
      <c r="D26" s="1">
        <v>16</v>
      </c>
      <c r="E26" s="1">
        <v>7</v>
      </c>
      <c r="F26" s="4">
        <v>0.69565217391304346</v>
      </c>
      <c r="G26" s="1" t="s">
        <v>29</v>
      </c>
      <c r="H26" s="1">
        <v>16</v>
      </c>
      <c r="I26" s="1">
        <v>10</v>
      </c>
      <c r="J26" s="5">
        <v>6</v>
      </c>
      <c r="K26" s="4">
        <v>0.625</v>
      </c>
    </row>
    <row r="27" spans="2:11" x14ac:dyDescent="0.25">
      <c r="B27" s="1" t="s">
        <v>30</v>
      </c>
      <c r="C27" s="1">
        <v>16</v>
      </c>
      <c r="D27" s="1">
        <v>15</v>
      </c>
      <c r="E27" s="1">
        <v>1</v>
      </c>
      <c r="F27" s="4">
        <v>0.9375</v>
      </c>
      <c r="G27" s="1" t="s">
        <v>30</v>
      </c>
      <c r="H27" s="1">
        <v>14</v>
      </c>
      <c r="I27" s="1">
        <v>13</v>
      </c>
      <c r="J27" s="5">
        <v>1</v>
      </c>
      <c r="K27" s="4">
        <v>0.9285714285714286</v>
      </c>
    </row>
    <row r="28" spans="2:11" x14ac:dyDescent="0.25">
      <c r="B28" s="1" t="s">
        <v>31</v>
      </c>
      <c r="C28" s="1">
        <v>19</v>
      </c>
      <c r="D28" s="1">
        <v>11</v>
      </c>
      <c r="E28" s="1">
        <v>8</v>
      </c>
      <c r="F28" s="4">
        <v>0.57894736842105265</v>
      </c>
      <c r="G28" s="1" t="s">
        <v>31</v>
      </c>
      <c r="H28" s="1">
        <v>11</v>
      </c>
      <c r="I28" s="1">
        <v>8</v>
      </c>
      <c r="J28" s="5">
        <v>3</v>
      </c>
      <c r="K28" s="4">
        <v>0.72727272727272729</v>
      </c>
    </row>
    <row r="29" spans="2:11" x14ac:dyDescent="0.25">
      <c r="B29" s="1" t="s">
        <v>32</v>
      </c>
      <c r="C29" s="1">
        <v>22</v>
      </c>
      <c r="D29" s="1">
        <v>20</v>
      </c>
      <c r="E29" s="1">
        <v>2</v>
      </c>
      <c r="F29" s="4">
        <v>0.90909090909090906</v>
      </c>
      <c r="G29" s="1" t="s">
        <v>32</v>
      </c>
      <c r="H29" s="1">
        <v>15</v>
      </c>
      <c r="I29" s="1">
        <v>6</v>
      </c>
      <c r="J29" s="5">
        <v>9</v>
      </c>
      <c r="K29" s="4">
        <v>0.4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5"/>
  <sheetViews>
    <sheetView topLeftCell="A25" workbookViewId="0">
      <selection activeCell="E42" sqref="E42"/>
    </sheetView>
  </sheetViews>
  <sheetFormatPr defaultRowHeight="15" x14ac:dyDescent="0.25"/>
  <cols>
    <col min="2" max="2" width="18.7109375" customWidth="1"/>
    <col min="3" max="3" width="27.28515625" customWidth="1"/>
    <col min="4" max="5" width="31.42578125" customWidth="1"/>
    <col min="6" max="6" width="22.85546875" customWidth="1"/>
    <col min="7" max="7" width="22.5703125" customWidth="1"/>
    <col min="8" max="8" width="31.42578125" customWidth="1"/>
    <col min="9" max="9" width="24.5703125" customWidth="1"/>
  </cols>
  <sheetData>
    <row r="1" spans="2:6" x14ac:dyDescent="0.25">
      <c r="B1" t="s">
        <v>81</v>
      </c>
    </row>
    <row r="3" spans="2:6" x14ac:dyDescent="0.25">
      <c r="B3" t="s">
        <v>8</v>
      </c>
      <c r="C3" t="s">
        <v>9</v>
      </c>
      <c r="D3" t="s">
        <v>11</v>
      </c>
      <c r="E3" t="s">
        <v>33</v>
      </c>
      <c r="F3" t="s">
        <v>35</v>
      </c>
    </row>
    <row r="4" spans="2:6" x14ac:dyDescent="0.25">
      <c r="B4" t="s">
        <v>55</v>
      </c>
      <c r="C4">
        <v>422</v>
      </c>
      <c r="D4">
        <v>234</v>
      </c>
      <c r="E4">
        <v>188</v>
      </c>
      <c r="F4" s="3">
        <v>0.55450236966824595</v>
      </c>
    </row>
    <row r="24" spans="2:9" x14ac:dyDescent="0.25">
      <c r="B24" t="s">
        <v>37</v>
      </c>
      <c r="C24" t="s">
        <v>10</v>
      </c>
      <c r="D24" t="s">
        <v>12</v>
      </c>
      <c r="E24" t="s">
        <v>34</v>
      </c>
      <c r="F24" t="s">
        <v>36</v>
      </c>
    </row>
    <row r="25" spans="2:9" x14ac:dyDescent="0.25">
      <c r="B25" t="s">
        <v>55</v>
      </c>
      <c r="C25">
        <v>348</v>
      </c>
      <c r="D25">
        <v>191</v>
      </c>
      <c r="E25">
        <v>157</v>
      </c>
      <c r="F25" s="3">
        <v>0.54885057471264365</v>
      </c>
      <c r="G25" s="3"/>
      <c r="H25" s="3"/>
      <c r="I25" s="3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0"/>
  <sheetViews>
    <sheetView topLeftCell="E28" workbookViewId="0">
      <selection activeCell="O51" sqref="O51"/>
    </sheetView>
  </sheetViews>
  <sheetFormatPr defaultRowHeight="15" x14ac:dyDescent="0.25"/>
  <cols>
    <col min="2" max="2" width="17.7109375" customWidth="1"/>
    <col min="3" max="3" width="22.42578125" customWidth="1"/>
    <col min="4" max="4" width="10.7109375" customWidth="1"/>
    <col min="5" max="5" width="14.7109375" customWidth="1"/>
    <col min="6" max="9" width="13" customWidth="1"/>
    <col min="12" max="12" width="17.7109375" customWidth="1"/>
    <col min="13" max="13" width="22.42578125" customWidth="1"/>
    <col min="14" max="14" width="10.7109375" customWidth="1"/>
    <col min="15" max="15" width="14.7109375" customWidth="1"/>
    <col min="16" max="16" width="13" customWidth="1"/>
    <col min="17" max="18" width="11.5703125" bestFit="1" customWidth="1"/>
  </cols>
  <sheetData>
    <row r="2" spans="2:18" x14ac:dyDescent="0.25">
      <c r="B2" t="s">
        <v>57</v>
      </c>
    </row>
    <row r="3" spans="2:18" x14ac:dyDescent="0.25">
      <c r="D3" s="22"/>
      <c r="E3" s="22"/>
      <c r="F3" s="22"/>
      <c r="G3" s="9"/>
      <c r="H3" s="9"/>
      <c r="I3" s="9"/>
      <c r="N3" s="22"/>
      <c r="O3" s="22"/>
      <c r="P3" s="22"/>
    </row>
    <row r="4" spans="2:18" ht="30" x14ac:dyDescent="0.25">
      <c r="B4" s="6" t="s">
        <v>8</v>
      </c>
      <c r="C4" s="10" t="s">
        <v>93</v>
      </c>
      <c r="D4" t="s">
        <v>42</v>
      </c>
      <c r="E4" t="s">
        <v>48</v>
      </c>
      <c r="F4" t="s">
        <v>43</v>
      </c>
      <c r="G4" t="s">
        <v>44</v>
      </c>
      <c r="H4" t="s">
        <v>45</v>
      </c>
      <c r="I4" t="s">
        <v>46</v>
      </c>
      <c r="K4" s="6" t="s">
        <v>8</v>
      </c>
      <c r="L4" s="10" t="s">
        <v>47</v>
      </c>
      <c r="M4" t="s">
        <v>42</v>
      </c>
      <c r="N4" t="s">
        <v>48</v>
      </c>
      <c r="O4" t="s">
        <v>43</v>
      </c>
      <c r="P4" t="s">
        <v>44</v>
      </c>
      <c r="Q4" t="s">
        <v>45</v>
      </c>
      <c r="R4" t="s">
        <v>46</v>
      </c>
    </row>
    <row r="5" spans="2:18" x14ac:dyDescent="0.25">
      <c r="B5" s="7" t="s">
        <v>2</v>
      </c>
      <c r="C5" s="7">
        <v>29</v>
      </c>
      <c r="D5">
        <v>20</v>
      </c>
      <c r="E5">
        <v>5</v>
      </c>
      <c r="F5" s="1">
        <v>4</v>
      </c>
      <c r="G5" s="4">
        <f ca="1">Table5[[#This Row],[Initiated]]/SUM(Table5[[#This Row],[Initiated]:[Ratio Initiated to total]])</f>
        <v>0.68965517241379315</v>
      </c>
      <c r="H5" s="4">
        <f>Table5[[#This Row],[Not-Initiated or carry forwarded]]/SUM(Table5[[#This Row],[Initiated]:[Completed]])</f>
        <v>0.17241379310344829</v>
      </c>
      <c r="I5" s="4">
        <f>Table5[[#This Row],[Completed]]/SUM(Table5[[#This Row],[Initiated]:[Completed]])</f>
        <v>0.13793103448275862</v>
      </c>
      <c r="K5" s="7" t="s">
        <v>2</v>
      </c>
      <c r="L5" s="7">
        <v>11</v>
      </c>
      <c r="M5">
        <v>3</v>
      </c>
      <c r="N5">
        <v>2</v>
      </c>
      <c r="O5" s="1">
        <v>6</v>
      </c>
      <c r="P5" s="4">
        <f>Table6[[#This Row],[Initiated]]/SUM(Table6[[#This Row],[Initiated]:[Completed]])</f>
        <v>0.27272727272727271</v>
      </c>
      <c r="Q5" s="4">
        <f>Table6[[#This Row],[Not-Initiated or carry forwarded]]/SUM(Table6[[#This Row],[Initiated]:[Completed]])</f>
        <v>0.18181818181818182</v>
      </c>
      <c r="R5" s="4">
        <f>Table6[[#This Row],[Completed]]/SUM(Table6[[#This Row],[Initiated]:[Completed]])</f>
        <v>0.54545454545454541</v>
      </c>
    </row>
    <row r="6" spans="2:18" x14ac:dyDescent="0.25">
      <c r="B6" s="8" t="s">
        <v>3</v>
      </c>
      <c r="C6" s="8">
        <v>14</v>
      </c>
      <c r="D6">
        <v>8</v>
      </c>
      <c r="E6">
        <v>1</v>
      </c>
      <c r="F6" s="1">
        <v>5</v>
      </c>
      <c r="G6" s="4">
        <f ca="1">Table5[[#This Row],[Initiated]]/SUM(Table5[[#This Row],[Initiated]:[Ratio Initiated to total]])</f>
        <v>0.5714285714285714</v>
      </c>
      <c r="H6" s="4">
        <f>Table5[[#This Row],[Not-Initiated or carry forwarded]]/SUM(Table5[[#This Row],[Initiated]:[Completed]])</f>
        <v>7.1428571428571425E-2</v>
      </c>
      <c r="I6" s="4">
        <f>Table5[[#This Row],[Completed]]/SUM(Table5[[#This Row],[Initiated]:[Completed]])</f>
        <v>0.35714285714285715</v>
      </c>
      <c r="K6" s="8" t="s">
        <v>3</v>
      </c>
      <c r="L6" s="8">
        <v>25</v>
      </c>
      <c r="M6">
        <v>10</v>
      </c>
      <c r="N6">
        <v>9</v>
      </c>
      <c r="O6" s="1">
        <v>6</v>
      </c>
      <c r="P6" s="4">
        <f>Table6[[#This Row],[Initiated]]/SUM(Table6[[#This Row],[Initiated]:[Completed]])</f>
        <v>0.4</v>
      </c>
      <c r="Q6" s="4">
        <f>Table6[[#This Row],[Not-Initiated or carry forwarded]]/SUM(Table6[[#This Row],[Initiated]:[Completed]])</f>
        <v>0.36</v>
      </c>
      <c r="R6" s="4">
        <f>Table6[[#This Row],[Completed]]/SUM(Table6[[#This Row],[Initiated]:[Completed]])</f>
        <v>0.24</v>
      </c>
    </row>
    <row r="7" spans="2:18" x14ac:dyDescent="0.25">
      <c r="B7" s="7" t="s">
        <v>4</v>
      </c>
      <c r="C7" s="7">
        <v>8</v>
      </c>
      <c r="D7">
        <v>1</v>
      </c>
      <c r="E7">
        <v>0</v>
      </c>
      <c r="F7" s="1">
        <v>7</v>
      </c>
      <c r="G7" s="4">
        <f ca="1">Table5[[#This Row],[Initiated]]/SUM(Table5[[#This Row],[Initiated]:[Ratio Initiated to total]])</f>
        <v>0.125</v>
      </c>
      <c r="H7" s="4">
        <f>Table5[[#This Row],[Not-Initiated or carry forwarded]]/SUM(Table5[[#This Row],[Initiated]:[Completed]])</f>
        <v>0</v>
      </c>
      <c r="I7" s="4">
        <f>Table5[[#This Row],[Completed]]/SUM(Table5[[#This Row],[Initiated]:[Completed]])</f>
        <v>0.875</v>
      </c>
      <c r="K7" s="7" t="s">
        <v>4</v>
      </c>
      <c r="L7" s="7">
        <v>6</v>
      </c>
      <c r="M7">
        <v>2</v>
      </c>
      <c r="N7">
        <v>0</v>
      </c>
      <c r="O7" s="1">
        <v>4</v>
      </c>
      <c r="P7" s="4">
        <f>Table6[[#This Row],[Initiated]]/SUM(Table6[[#This Row],[Initiated]:[Completed]])</f>
        <v>0.33333333333333331</v>
      </c>
      <c r="Q7" s="4">
        <f>Table6[[#This Row],[Not-Initiated or carry forwarded]]/SUM(Table6[[#This Row],[Initiated]:[Completed]])</f>
        <v>0</v>
      </c>
      <c r="R7" s="4">
        <f>Table6[[#This Row],[Completed]]/SUM(Table6[[#This Row],[Initiated]:[Completed]])</f>
        <v>0.66666666666666663</v>
      </c>
    </row>
    <row r="8" spans="2:18" x14ac:dyDescent="0.25">
      <c r="B8" s="8" t="s">
        <v>5</v>
      </c>
      <c r="C8" s="8">
        <v>15</v>
      </c>
      <c r="D8">
        <v>3</v>
      </c>
      <c r="E8">
        <v>4</v>
      </c>
      <c r="F8" s="1">
        <v>8</v>
      </c>
      <c r="G8" s="4">
        <f ca="1">Table5[[#This Row],[Initiated]]/SUM(Table5[[#This Row],[Initiated]:[Ratio Initiated to total]])</f>
        <v>0.2</v>
      </c>
      <c r="H8" s="4">
        <f>Table5[[#This Row],[Not-Initiated or carry forwarded]]/SUM(Table5[[#This Row],[Initiated]:[Completed]])</f>
        <v>0.26666666666666666</v>
      </c>
      <c r="I8" s="4">
        <f>Table5[[#This Row],[Completed]]/SUM(Table5[[#This Row],[Initiated]:[Completed]])</f>
        <v>0.53333333333333333</v>
      </c>
      <c r="K8" s="8" t="s">
        <v>5</v>
      </c>
      <c r="L8" s="8">
        <v>0</v>
      </c>
      <c r="M8">
        <v>0</v>
      </c>
      <c r="N8">
        <v>0</v>
      </c>
      <c r="O8" s="1">
        <v>0</v>
      </c>
      <c r="P8" s="4">
        <v>0</v>
      </c>
      <c r="Q8" s="4">
        <v>0</v>
      </c>
      <c r="R8" s="4">
        <v>0</v>
      </c>
    </row>
    <row r="9" spans="2:18" x14ac:dyDescent="0.25">
      <c r="B9" s="7" t="s">
        <v>6</v>
      </c>
      <c r="C9" s="7">
        <v>23</v>
      </c>
      <c r="D9">
        <v>10</v>
      </c>
      <c r="E9">
        <v>10</v>
      </c>
      <c r="F9" s="1">
        <v>3</v>
      </c>
      <c r="G9" s="4">
        <f ca="1">Table5[[#This Row],[Initiated]]/SUM(Table5[[#This Row],[Initiated]:[Ratio Initiated to total]])</f>
        <v>0.43478260869565216</v>
      </c>
      <c r="H9" s="4">
        <f>Table5[[#This Row],[Not-Initiated or carry forwarded]]/SUM(Table5[[#This Row],[Initiated]:[Completed]])</f>
        <v>0.43478260869565216</v>
      </c>
      <c r="I9" s="4">
        <f>Table5[[#This Row],[Completed]]/SUM(Table5[[#This Row],[Initiated]:[Completed]])</f>
        <v>0.13043478260869565</v>
      </c>
      <c r="K9" s="7" t="s">
        <v>6</v>
      </c>
      <c r="L9" s="7">
        <v>2</v>
      </c>
      <c r="M9">
        <v>1</v>
      </c>
      <c r="N9">
        <v>0</v>
      </c>
      <c r="O9" s="1">
        <v>1</v>
      </c>
      <c r="P9" s="4">
        <f>Table6[[#This Row],[Initiated]]/SUM(Table6[[#This Row],[Initiated]:[Completed]])</f>
        <v>0.5</v>
      </c>
      <c r="Q9" s="4">
        <f>Table6[[#This Row],[Not-Initiated or carry forwarded]]/SUM(Table6[[#This Row],[Initiated]:[Completed]])</f>
        <v>0</v>
      </c>
      <c r="R9" s="4">
        <f>Table6[[#This Row],[Completed]]/SUM(Table6[[#This Row],[Initiated]:[Completed]])</f>
        <v>0.5</v>
      </c>
    </row>
    <row r="10" spans="2:18" x14ac:dyDescent="0.25">
      <c r="B10" s="8" t="s">
        <v>7</v>
      </c>
      <c r="C10" s="8">
        <v>15</v>
      </c>
      <c r="D10">
        <v>6</v>
      </c>
      <c r="E10">
        <v>4</v>
      </c>
      <c r="F10" s="1">
        <v>5</v>
      </c>
      <c r="G10" s="4">
        <f ca="1">Table5[[#This Row],[Initiated]]/SUM(Table5[[#This Row],[Initiated]:[Ratio Initiated to total]])</f>
        <v>0.4</v>
      </c>
      <c r="H10" s="4">
        <f>Table5[[#This Row],[Not-Initiated or carry forwarded]]/SUM(Table5[[#This Row],[Initiated]:[Completed]])</f>
        <v>0.26666666666666666</v>
      </c>
      <c r="I10" s="4">
        <f>Table5[[#This Row],[Completed]]/SUM(Table5[[#This Row],[Initiated]:[Completed]])</f>
        <v>0.33333333333333331</v>
      </c>
      <c r="K10" s="8" t="s">
        <v>7</v>
      </c>
      <c r="L10" s="8">
        <v>3</v>
      </c>
      <c r="M10">
        <v>0</v>
      </c>
      <c r="N10">
        <v>1</v>
      </c>
      <c r="O10" s="1">
        <v>2</v>
      </c>
      <c r="P10" s="4">
        <f>Table6[[#This Row],[Initiated]]/SUM(Table6[[#This Row],[Initiated]:[Completed]])</f>
        <v>0</v>
      </c>
      <c r="Q10" s="4">
        <f>Table6[[#This Row],[Not-Initiated or carry forwarded]]/SUM(Table6[[#This Row],[Initiated]:[Completed]])</f>
        <v>0.33333333333333331</v>
      </c>
      <c r="R10" s="4">
        <f>Table6[[#This Row],[Completed]]/SUM(Table6[[#This Row],[Initiated]:[Completed]])</f>
        <v>0.66666666666666663</v>
      </c>
    </row>
    <row r="11" spans="2:18" x14ac:dyDescent="0.25">
      <c r="B11" s="7" t="s">
        <v>13</v>
      </c>
      <c r="C11" s="7">
        <v>20</v>
      </c>
      <c r="D11">
        <v>7</v>
      </c>
      <c r="E11">
        <v>3</v>
      </c>
      <c r="F11" s="1">
        <v>10</v>
      </c>
      <c r="G11" s="4">
        <f ca="1">Table5[[#This Row],[Initiated]]/SUM(Table5[[#This Row],[Initiated]:[Ratio Initiated to total]])</f>
        <v>0.35</v>
      </c>
      <c r="H11" s="4">
        <f>Table5[[#This Row],[Not-Initiated or carry forwarded]]/SUM(Table5[[#This Row],[Initiated]:[Completed]])</f>
        <v>0.15</v>
      </c>
      <c r="I11" s="4">
        <f>Table5[[#This Row],[Completed]]/SUM(Table5[[#This Row],[Initiated]:[Completed]])</f>
        <v>0.5</v>
      </c>
      <c r="K11" s="7" t="s">
        <v>13</v>
      </c>
      <c r="L11" s="7">
        <v>27</v>
      </c>
      <c r="M11">
        <v>5</v>
      </c>
      <c r="N11">
        <v>2</v>
      </c>
      <c r="O11" s="1">
        <v>20</v>
      </c>
      <c r="P11" s="4">
        <f>Table6[[#This Row],[Initiated]]/SUM(Table6[[#This Row],[Initiated]:[Completed]])</f>
        <v>0.18518518518518517</v>
      </c>
      <c r="Q11" s="4">
        <f>Table6[[#This Row],[Not-Initiated or carry forwarded]]/SUM(Table6[[#This Row],[Initiated]:[Completed]])</f>
        <v>7.407407407407407E-2</v>
      </c>
      <c r="R11" s="4">
        <f>Table6[[#This Row],[Completed]]/SUM(Table6[[#This Row],[Initiated]:[Completed]])</f>
        <v>0.7407407407407407</v>
      </c>
    </row>
    <row r="12" spans="2:18" x14ac:dyDescent="0.25">
      <c r="B12" s="8" t="s">
        <v>14</v>
      </c>
      <c r="C12" s="8">
        <v>1</v>
      </c>
      <c r="D12">
        <v>1</v>
      </c>
      <c r="E12">
        <v>0</v>
      </c>
      <c r="F12" s="1">
        <v>0</v>
      </c>
      <c r="G12" s="4">
        <f ca="1">Table5[[#This Row],[Initiated]]/SUM(Table5[[#This Row],[Initiated]:[Ratio Initiated to total]])</f>
        <v>1</v>
      </c>
      <c r="H12" s="4">
        <f>Table5[[#This Row],[Not-Initiated or carry forwarded]]/SUM(Table5[[#This Row],[Initiated]:[Completed]])</f>
        <v>0</v>
      </c>
      <c r="I12" s="4">
        <f>Table5[[#This Row],[Completed]]/SUM(Table5[[#This Row],[Initiated]:[Completed]])</f>
        <v>0</v>
      </c>
      <c r="K12" s="8" t="s">
        <v>14</v>
      </c>
      <c r="L12" s="8">
        <v>4</v>
      </c>
      <c r="M12">
        <v>2</v>
      </c>
      <c r="N12">
        <v>0</v>
      </c>
      <c r="O12" s="1">
        <v>2</v>
      </c>
      <c r="P12" s="4">
        <f>Table6[[#This Row],[Initiated]]/SUM(Table6[[#This Row],[Initiated]:[Completed]])</f>
        <v>0.5</v>
      </c>
      <c r="Q12" s="4">
        <f>Table6[[#This Row],[Not-Initiated or carry forwarded]]/SUM(Table6[[#This Row],[Initiated]:[Completed]])</f>
        <v>0</v>
      </c>
      <c r="R12" s="4">
        <f>Table6[[#This Row],[Completed]]/SUM(Table6[[#This Row],[Initiated]:[Completed]])</f>
        <v>0.5</v>
      </c>
    </row>
    <row r="13" spans="2:18" x14ac:dyDescent="0.25">
      <c r="B13" s="7" t="s">
        <v>15</v>
      </c>
      <c r="C13" s="7">
        <v>23</v>
      </c>
      <c r="D13">
        <v>8</v>
      </c>
      <c r="E13">
        <v>8</v>
      </c>
      <c r="F13" s="1">
        <v>7</v>
      </c>
      <c r="G13" s="4">
        <f ca="1">Table5[[#This Row],[Initiated]]/SUM(Table5[[#This Row],[Initiated]:[Ratio Initiated to total]])</f>
        <v>0.34782608695652173</v>
      </c>
      <c r="H13" s="4">
        <f>Table5[[#This Row],[Not-Initiated or carry forwarded]]/SUM(Table5[[#This Row],[Initiated]:[Completed]])</f>
        <v>0.34782608695652173</v>
      </c>
      <c r="I13" s="4">
        <f>Table5[[#This Row],[Completed]]/SUM(Table5[[#This Row],[Initiated]:[Completed]])</f>
        <v>0.30434782608695654</v>
      </c>
      <c r="K13" s="7" t="s">
        <v>15</v>
      </c>
      <c r="L13" s="7">
        <v>25</v>
      </c>
      <c r="M13">
        <v>5</v>
      </c>
      <c r="N13">
        <v>5</v>
      </c>
      <c r="O13" s="1">
        <v>15</v>
      </c>
      <c r="P13" s="4">
        <f>Table6[[#This Row],[Initiated]]/SUM(Table6[[#This Row],[Initiated]:[Completed]])</f>
        <v>0.2</v>
      </c>
      <c r="Q13" s="4">
        <f>Table6[[#This Row],[Not-Initiated or carry forwarded]]/SUM(Table6[[#This Row],[Initiated]:[Completed]])</f>
        <v>0.2</v>
      </c>
      <c r="R13" s="4">
        <f>Table6[[#This Row],[Completed]]/SUM(Table6[[#This Row],[Initiated]:[Completed]])</f>
        <v>0.6</v>
      </c>
    </row>
    <row r="14" spans="2:18" x14ac:dyDescent="0.25">
      <c r="B14" s="8" t="s">
        <v>16</v>
      </c>
      <c r="C14" s="8">
        <v>18</v>
      </c>
      <c r="D14">
        <v>5</v>
      </c>
      <c r="E14">
        <v>3</v>
      </c>
      <c r="F14" s="1">
        <v>10</v>
      </c>
      <c r="G14" s="4">
        <f ca="1">Table5[[#This Row],[Initiated]]/SUM(Table5[[#This Row],[Initiated]:[Ratio Initiated to total]])</f>
        <v>0.27777777777777779</v>
      </c>
      <c r="H14" s="4">
        <f>Table5[[#This Row],[Not-Initiated or carry forwarded]]/SUM(Table5[[#This Row],[Initiated]:[Completed]])</f>
        <v>0.16666666666666666</v>
      </c>
      <c r="I14" s="4">
        <f>Table5[[#This Row],[Completed]]/SUM(Table5[[#This Row],[Initiated]:[Completed]])</f>
        <v>0.55555555555555558</v>
      </c>
      <c r="K14" s="8" t="s">
        <v>16</v>
      </c>
      <c r="L14" s="8">
        <v>18</v>
      </c>
      <c r="M14">
        <v>7</v>
      </c>
      <c r="N14">
        <v>11</v>
      </c>
      <c r="O14" s="1">
        <v>0</v>
      </c>
      <c r="P14" s="4">
        <f>Table6[[#This Row],[Initiated]]/SUM(Table6[[#This Row],[Initiated]:[Completed]])</f>
        <v>0.3888888888888889</v>
      </c>
      <c r="Q14" s="4">
        <f>Table6[[#This Row],[Not-Initiated or carry forwarded]]/SUM(Table6[[#This Row],[Initiated]:[Completed]])</f>
        <v>0.61111111111111116</v>
      </c>
      <c r="R14" s="4">
        <f>Table6[[#This Row],[Completed]]/SUM(Table6[[#This Row],[Initiated]:[Completed]])</f>
        <v>0</v>
      </c>
    </row>
    <row r="15" spans="2:18" x14ac:dyDescent="0.25">
      <c r="B15" s="7" t="s">
        <v>17</v>
      </c>
      <c r="C15" s="7">
        <v>22</v>
      </c>
      <c r="D15">
        <v>9</v>
      </c>
      <c r="E15">
        <v>7</v>
      </c>
      <c r="F15" s="1">
        <v>6</v>
      </c>
      <c r="G15" s="4">
        <f ca="1">Table5[[#This Row],[Initiated]]/SUM(Table5[[#This Row],[Initiated]:[Ratio Initiated to total]])</f>
        <v>0.40909090909090912</v>
      </c>
      <c r="H15" s="4">
        <f>Table5[[#This Row],[Not-Initiated or carry forwarded]]/SUM(Table5[[#This Row],[Initiated]:[Completed]])</f>
        <v>0.31818181818181818</v>
      </c>
      <c r="I15" s="4">
        <f>Table5[[#This Row],[Completed]]/SUM(Table5[[#This Row],[Initiated]:[Completed]])</f>
        <v>0.27272727272727271</v>
      </c>
      <c r="K15" s="7" t="s">
        <v>17</v>
      </c>
      <c r="L15" s="7">
        <v>28</v>
      </c>
      <c r="M15">
        <v>10</v>
      </c>
      <c r="N15">
        <v>10</v>
      </c>
      <c r="O15" s="1">
        <v>8</v>
      </c>
      <c r="P15" s="4">
        <f>Table6[[#This Row],[Initiated]]/SUM(Table6[[#This Row],[Initiated]:[Completed]])</f>
        <v>0.35714285714285715</v>
      </c>
      <c r="Q15" s="4">
        <f>Table6[[#This Row],[Not-Initiated or carry forwarded]]/SUM(Table6[[#This Row],[Initiated]:[Completed]])</f>
        <v>0.35714285714285715</v>
      </c>
      <c r="R15" s="4">
        <f>Table6[[#This Row],[Completed]]/SUM(Table6[[#This Row],[Initiated]:[Completed]])</f>
        <v>0.2857142857142857</v>
      </c>
    </row>
    <row r="16" spans="2:18" x14ac:dyDescent="0.25">
      <c r="B16" s="8" t="s">
        <v>18</v>
      </c>
      <c r="C16" s="8">
        <v>11</v>
      </c>
      <c r="D16">
        <v>5</v>
      </c>
      <c r="E16">
        <v>1</v>
      </c>
      <c r="F16" s="1">
        <v>5</v>
      </c>
      <c r="G16" s="4">
        <f ca="1">Table5[[#This Row],[Initiated]]/SUM(Table5[[#This Row],[Initiated]:[Ratio Initiated to total]])</f>
        <v>0.45454545454545453</v>
      </c>
      <c r="H16" s="4">
        <f>Table5[[#This Row],[Not-Initiated or carry forwarded]]/SUM(Table5[[#This Row],[Initiated]:[Completed]])</f>
        <v>9.0909090909090912E-2</v>
      </c>
      <c r="I16" s="4">
        <f>Table5[[#This Row],[Completed]]/SUM(Table5[[#This Row],[Initiated]:[Completed]])</f>
        <v>0.45454545454545453</v>
      </c>
      <c r="K16" s="8" t="s">
        <v>18</v>
      </c>
      <c r="L16" s="8">
        <v>2</v>
      </c>
      <c r="M16">
        <v>1</v>
      </c>
      <c r="N16">
        <v>0</v>
      </c>
      <c r="O16" s="1">
        <v>1</v>
      </c>
      <c r="P16" s="4">
        <f>Table6[[#This Row],[Initiated]]/SUM(Table6[[#This Row],[Initiated]:[Completed]])</f>
        <v>0.5</v>
      </c>
      <c r="Q16" s="4">
        <f>Table6[[#This Row],[Not-Initiated or carry forwarded]]/SUM(Table6[[#This Row],[Initiated]:[Completed]])</f>
        <v>0</v>
      </c>
      <c r="R16" s="4">
        <f>Table6[[#This Row],[Completed]]/SUM(Table6[[#This Row],[Initiated]:[Completed]])</f>
        <v>0.5</v>
      </c>
    </row>
    <row r="17" spans="2:18" x14ac:dyDescent="0.25">
      <c r="B17" s="7" t="s">
        <v>19</v>
      </c>
      <c r="C17" s="7">
        <v>14</v>
      </c>
      <c r="D17">
        <v>4</v>
      </c>
      <c r="E17">
        <v>3</v>
      </c>
      <c r="F17" s="1">
        <v>7</v>
      </c>
      <c r="G17" s="4">
        <f ca="1">Table5[[#This Row],[Initiated]]/SUM(Table5[[#This Row],[Initiated]:[Ratio Initiated to total]])</f>
        <v>0.2857142857142857</v>
      </c>
      <c r="H17" s="4">
        <f>Table5[[#This Row],[Not-Initiated or carry forwarded]]/SUM(Table5[[#This Row],[Initiated]:[Completed]])</f>
        <v>0.21428571428571427</v>
      </c>
      <c r="I17" s="4">
        <f>Table5[[#This Row],[Completed]]/SUM(Table5[[#This Row],[Initiated]:[Completed]])</f>
        <v>0.5</v>
      </c>
      <c r="K17" s="7" t="s">
        <v>19</v>
      </c>
      <c r="L17" s="7">
        <v>22</v>
      </c>
      <c r="M17">
        <v>2</v>
      </c>
      <c r="N17">
        <v>2</v>
      </c>
      <c r="O17" s="1">
        <v>18</v>
      </c>
      <c r="P17" s="4">
        <f>Table6[[#This Row],[Initiated]]/SUM(Table6[[#This Row],[Initiated]:[Completed]])</f>
        <v>9.0909090909090912E-2</v>
      </c>
      <c r="Q17" s="4">
        <f>Table6[[#This Row],[Not-Initiated or carry forwarded]]/SUM(Table6[[#This Row],[Initiated]:[Completed]])</f>
        <v>9.0909090909090912E-2</v>
      </c>
      <c r="R17" s="4">
        <f>Table6[[#This Row],[Completed]]/SUM(Table6[[#This Row],[Initiated]:[Completed]])</f>
        <v>0.81818181818181823</v>
      </c>
    </row>
    <row r="18" spans="2:18" x14ac:dyDescent="0.25">
      <c r="B18" s="8" t="s">
        <v>20</v>
      </c>
      <c r="C18" s="8">
        <v>21</v>
      </c>
      <c r="D18">
        <v>4</v>
      </c>
      <c r="E18">
        <v>2</v>
      </c>
      <c r="F18" s="1">
        <v>15</v>
      </c>
      <c r="G18" s="4">
        <f ca="1">Table5[[#This Row],[Initiated]]/SUM(Table5[[#This Row],[Initiated]:[Ratio Initiated to total]])</f>
        <v>0.19047619047619047</v>
      </c>
      <c r="H18" s="4">
        <f>Table5[[#This Row],[Not-Initiated or carry forwarded]]/SUM(Table5[[#This Row],[Initiated]:[Completed]])</f>
        <v>9.5238095238095233E-2</v>
      </c>
      <c r="I18" s="4">
        <f>Table5[[#This Row],[Completed]]/SUM(Table5[[#This Row],[Initiated]:[Completed]])</f>
        <v>0.7142857142857143</v>
      </c>
      <c r="K18" s="8" t="s">
        <v>20</v>
      </c>
      <c r="L18" s="8">
        <v>27</v>
      </c>
      <c r="M18">
        <v>9</v>
      </c>
      <c r="N18">
        <v>11</v>
      </c>
      <c r="O18" s="1">
        <v>7</v>
      </c>
      <c r="P18" s="4">
        <f>Table6[[#This Row],[Initiated]]/SUM(Table6[[#This Row],[Initiated]:[Completed]])</f>
        <v>0.33333333333333331</v>
      </c>
      <c r="Q18" s="4">
        <f>Table6[[#This Row],[Not-Initiated or carry forwarded]]/SUM(Table6[[#This Row],[Initiated]:[Completed]])</f>
        <v>0.40740740740740738</v>
      </c>
      <c r="R18" s="4">
        <f>Table6[[#This Row],[Completed]]/SUM(Table6[[#This Row],[Initiated]:[Completed]])</f>
        <v>0.25925925925925924</v>
      </c>
    </row>
    <row r="19" spans="2:18" x14ac:dyDescent="0.25">
      <c r="B19" s="7" t="s">
        <v>21</v>
      </c>
      <c r="C19" s="7">
        <v>19</v>
      </c>
      <c r="D19">
        <v>5</v>
      </c>
      <c r="E19">
        <v>4</v>
      </c>
      <c r="F19" s="1">
        <v>10</v>
      </c>
      <c r="G19" s="4">
        <f ca="1">Table5[[#This Row],[Initiated]]/SUM(Table5[[#This Row],[Initiated]:[Ratio Initiated to total]])</f>
        <v>0.26315789473684209</v>
      </c>
      <c r="H19" s="4">
        <f>Table5[[#This Row],[Not-Initiated or carry forwarded]]/SUM(Table5[[#This Row],[Initiated]:[Completed]])</f>
        <v>0.21052631578947367</v>
      </c>
      <c r="I19" s="4">
        <f>Table5[[#This Row],[Completed]]/SUM(Table5[[#This Row],[Initiated]:[Completed]])</f>
        <v>0.52631578947368418</v>
      </c>
      <c r="K19" s="7" t="s">
        <v>21</v>
      </c>
      <c r="L19" s="7">
        <v>11</v>
      </c>
      <c r="M19">
        <v>0</v>
      </c>
      <c r="N19">
        <v>1</v>
      </c>
      <c r="O19" s="1">
        <v>10</v>
      </c>
      <c r="P19" s="4">
        <f>Table6[[#This Row],[Initiated]]/SUM(Table6[[#This Row],[Initiated]:[Completed]])</f>
        <v>0</v>
      </c>
      <c r="Q19" s="4">
        <f>Table6[[#This Row],[Not-Initiated or carry forwarded]]/SUM(Table6[[#This Row],[Initiated]:[Completed]])</f>
        <v>9.0909090909090912E-2</v>
      </c>
      <c r="R19" s="4">
        <f>Table6[[#This Row],[Completed]]/SUM(Table6[[#This Row],[Initiated]:[Completed]])</f>
        <v>0.90909090909090906</v>
      </c>
    </row>
    <row r="20" spans="2:18" x14ac:dyDescent="0.25">
      <c r="B20" s="8" t="s">
        <v>22</v>
      </c>
      <c r="C20" s="8">
        <v>11</v>
      </c>
      <c r="D20">
        <v>3</v>
      </c>
      <c r="E20">
        <v>2</v>
      </c>
      <c r="F20" s="1">
        <v>6</v>
      </c>
      <c r="G20" s="4">
        <f ca="1">Table5[[#This Row],[Initiated]]/SUM(Table5[[#This Row],[Initiated]:[Ratio Initiated to total]])</f>
        <v>0.27272727272727271</v>
      </c>
      <c r="H20" s="4">
        <f>Table5[[#This Row],[Not-Initiated or carry forwarded]]/SUM(Table5[[#This Row],[Initiated]:[Completed]])</f>
        <v>0.18181818181818182</v>
      </c>
      <c r="I20" s="4">
        <f>Table5[[#This Row],[Completed]]/SUM(Table5[[#This Row],[Initiated]:[Completed]])</f>
        <v>0.54545454545454541</v>
      </c>
      <c r="K20" s="8" t="s">
        <v>22</v>
      </c>
      <c r="L20" s="8">
        <v>1</v>
      </c>
      <c r="M20">
        <v>1</v>
      </c>
      <c r="N20">
        <v>0</v>
      </c>
      <c r="O20" s="1">
        <v>0</v>
      </c>
      <c r="P20" s="4">
        <f>Table6[[#This Row],[Initiated]]/SUM(Table6[[#This Row],[Initiated]:[Completed]])</f>
        <v>1</v>
      </c>
      <c r="Q20" s="4">
        <f>Table6[[#This Row],[Not-Initiated or carry forwarded]]/SUM(Table6[[#This Row],[Initiated]:[Completed]])</f>
        <v>0</v>
      </c>
      <c r="R20" s="4">
        <f>Table6[[#This Row],[Completed]]/SUM(Table6[[#This Row],[Initiated]:[Completed]])</f>
        <v>0</v>
      </c>
    </row>
    <row r="21" spans="2:18" x14ac:dyDescent="0.25">
      <c r="B21" s="7" t="s">
        <v>23</v>
      </c>
      <c r="C21" s="7">
        <v>19</v>
      </c>
      <c r="D21">
        <v>0</v>
      </c>
      <c r="E21">
        <v>0</v>
      </c>
      <c r="F21" s="1">
        <v>19</v>
      </c>
      <c r="G21" s="4">
        <f ca="1">Table5[[#This Row],[Initiated]]/SUM(Table5[[#This Row],[Initiated]:[Ratio Initiated to total]])</f>
        <v>0</v>
      </c>
      <c r="H21" s="4">
        <f>Table5[[#This Row],[Not-Initiated or carry forwarded]]/SUM(Table5[[#This Row],[Initiated]:[Completed]])</f>
        <v>0</v>
      </c>
      <c r="I21" s="4">
        <f>Table5[[#This Row],[Completed]]/SUM(Table5[[#This Row],[Initiated]:[Completed]])</f>
        <v>1</v>
      </c>
      <c r="K21" s="7" t="s">
        <v>23</v>
      </c>
      <c r="L21" s="7">
        <v>9</v>
      </c>
      <c r="M21">
        <v>3</v>
      </c>
      <c r="N21">
        <v>2</v>
      </c>
      <c r="O21" s="1">
        <v>4</v>
      </c>
      <c r="P21" s="4">
        <f>Table6[[#This Row],[Initiated]]/SUM(Table6[[#This Row],[Initiated]:[Completed]])</f>
        <v>0.33333333333333331</v>
      </c>
      <c r="Q21" s="4">
        <f>Table6[[#This Row],[Not-Initiated or carry forwarded]]/SUM(Table6[[#This Row],[Initiated]:[Completed]])</f>
        <v>0.22222222222222221</v>
      </c>
      <c r="R21" s="4">
        <f>Table6[[#This Row],[Completed]]/SUM(Table6[[#This Row],[Initiated]:[Completed]])</f>
        <v>0.44444444444444442</v>
      </c>
    </row>
    <row r="22" spans="2:18" x14ac:dyDescent="0.25">
      <c r="B22" s="8" t="s">
        <v>24</v>
      </c>
      <c r="C22" s="8">
        <v>0</v>
      </c>
      <c r="D22">
        <v>0</v>
      </c>
      <c r="E22">
        <v>0</v>
      </c>
      <c r="F22" s="1">
        <v>0</v>
      </c>
      <c r="G22" s="4">
        <v>0</v>
      </c>
      <c r="H22" s="4">
        <v>0</v>
      </c>
      <c r="I22" s="4">
        <v>0</v>
      </c>
      <c r="K22" s="8" t="s">
        <v>24</v>
      </c>
      <c r="L22" s="8">
        <v>8</v>
      </c>
      <c r="M22">
        <v>0</v>
      </c>
      <c r="N22">
        <v>0</v>
      </c>
      <c r="O22" s="1">
        <v>8</v>
      </c>
      <c r="P22" s="4">
        <f>Table6[[#This Row],[Initiated]]/SUM(Table6[[#This Row],[Initiated]:[Completed]])</f>
        <v>0</v>
      </c>
      <c r="Q22" s="4">
        <f>Table6[[#This Row],[Not-Initiated or carry forwarded]]/SUM(Table6[[#This Row],[Initiated]:[Completed]])</f>
        <v>0</v>
      </c>
      <c r="R22" s="4">
        <f>Table6[[#This Row],[Completed]]/SUM(Table6[[#This Row],[Initiated]:[Completed]])</f>
        <v>1</v>
      </c>
    </row>
    <row r="23" spans="2:18" x14ac:dyDescent="0.25">
      <c r="B23" s="7" t="s">
        <v>25</v>
      </c>
      <c r="C23" s="7">
        <v>4</v>
      </c>
      <c r="D23">
        <v>1</v>
      </c>
      <c r="E23">
        <v>1</v>
      </c>
      <c r="F23" s="1">
        <v>2</v>
      </c>
      <c r="G23" s="4">
        <f ca="1">Table5[[#This Row],[Initiated]]/SUM(Table5[[#This Row],[Initiated]:[Ratio Initiated to total]])</f>
        <v>0.25</v>
      </c>
      <c r="H23" s="4">
        <f>Table5[[#This Row],[Not-Initiated or carry forwarded]]/SUM(Table5[[#This Row],[Initiated]:[Completed]])</f>
        <v>0.25</v>
      </c>
      <c r="I23" s="4">
        <f>Table5[[#This Row],[Completed]]/SUM(Table5[[#This Row],[Initiated]:[Completed]])</f>
        <v>0.5</v>
      </c>
      <c r="K23" s="7" t="s">
        <v>25</v>
      </c>
      <c r="L23" s="7">
        <v>22</v>
      </c>
      <c r="M23">
        <v>1</v>
      </c>
      <c r="N23">
        <v>2</v>
      </c>
      <c r="O23" s="1">
        <v>19</v>
      </c>
      <c r="P23" s="4">
        <f>Table6[[#This Row],[Initiated]]/SUM(Table6[[#This Row],[Initiated]:[Completed]])</f>
        <v>4.5454545454545456E-2</v>
      </c>
      <c r="Q23" s="4">
        <f>Table6[[#This Row],[Not-Initiated or carry forwarded]]/SUM(Table6[[#This Row],[Initiated]:[Completed]])</f>
        <v>9.0909090909090912E-2</v>
      </c>
      <c r="R23" s="4">
        <f>Table6[[#This Row],[Completed]]/SUM(Table6[[#This Row],[Initiated]:[Completed]])</f>
        <v>0.86363636363636365</v>
      </c>
    </row>
    <row r="24" spans="2:18" x14ac:dyDescent="0.25">
      <c r="B24" s="8" t="s">
        <v>26</v>
      </c>
      <c r="C24" s="8">
        <v>28</v>
      </c>
      <c r="D24">
        <v>5</v>
      </c>
      <c r="E24">
        <v>3</v>
      </c>
      <c r="F24" s="1">
        <v>20</v>
      </c>
      <c r="G24" s="4">
        <f ca="1">Table5[[#This Row],[Initiated]]/SUM(Table5[[#This Row],[Initiated]:[Ratio Initiated to total]])</f>
        <v>0.17857142857142858</v>
      </c>
      <c r="H24" s="4">
        <f>Table5[[#This Row],[Not-Initiated or carry forwarded]]/SUM(Table5[[#This Row],[Initiated]:[Completed]])</f>
        <v>0.10714285714285714</v>
      </c>
      <c r="I24" s="4">
        <f>Table5[[#This Row],[Completed]]/SUM(Table5[[#This Row],[Initiated]:[Completed]])</f>
        <v>0.7142857142857143</v>
      </c>
      <c r="K24" s="8" t="s">
        <v>26</v>
      </c>
      <c r="L24" s="8">
        <v>6</v>
      </c>
      <c r="M24">
        <v>2</v>
      </c>
      <c r="N24">
        <v>0</v>
      </c>
      <c r="O24" s="1">
        <v>4</v>
      </c>
      <c r="P24" s="4">
        <f>Table6[[#This Row],[Initiated]]/SUM(Table6[[#This Row],[Initiated]:[Completed]])</f>
        <v>0.33333333333333331</v>
      </c>
      <c r="Q24" s="4">
        <f>Table6[[#This Row],[Not-Initiated or carry forwarded]]/SUM(Table6[[#This Row],[Initiated]:[Completed]])</f>
        <v>0</v>
      </c>
      <c r="R24" s="4">
        <f>Table6[[#This Row],[Completed]]/SUM(Table6[[#This Row],[Initiated]:[Completed]])</f>
        <v>0.66666666666666663</v>
      </c>
    </row>
    <row r="25" spans="2:18" x14ac:dyDescent="0.25">
      <c r="B25" s="7" t="s">
        <v>27</v>
      </c>
      <c r="C25" s="7">
        <v>23</v>
      </c>
      <c r="D25">
        <v>3</v>
      </c>
      <c r="E25">
        <v>0</v>
      </c>
      <c r="F25" s="1">
        <v>20</v>
      </c>
      <c r="G25" s="4">
        <f ca="1">Table5[[#This Row],[Initiated]]/SUM(Table5[[#This Row],[Initiated]:[Ratio Initiated to total]])</f>
        <v>0.13043478260869565</v>
      </c>
      <c r="H25" s="4">
        <f>Table5[[#This Row],[Not-Initiated or carry forwarded]]/SUM(Table5[[#This Row],[Initiated]:[Completed]])</f>
        <v>0</v>
      </c>
      <c r="I25" s="4">
        <f>Table5[[#This Row],[Completed]]/SUM(Table5[[#This Row],[Initiated]:[Completed]])</f>
        <v>0.86956521739130432</v>
      </c>
      <c r="K25" s="7" t="s">
        <v>27</v>
      </c>
      <c r="L25" s="7">
        <v>16</v>
      </c>
      <c r="M25">
        <v>4</v>
      </c>
      <c r="N25">
        <v>2</v>
      </c>
      <c r="O25" s="1">
        <v>10</v>
      </c>
      <c r="P25" s="4">
        <f>Table6[[#This Row],[Initiated]]/SUM(Table6[[#This Row],[Initiated]:[Completed]])</f>
        <v>0.25</v>
      </c>
      <c r="Q25" s="4">
        <f>Table6[[#This Row],[Not-Initiated or carry forwarded]]/SUM(Table6[[#This Row],[Initiated]:[Completed]])</f>
        <v>0.125</v>
      </c>
      <c r="R25" s="4">
        <f>Table6[[#This Row],[Completed]]/SUM(Table6[[#This Row],[Initiated]:[Completed]])</f>
        <v>0.625</v>
      </c>
    </row>
    <row r="26" spans="2:18" x14ac:dyDescent="0.25">
      <c r="B26" s="8" t="s">
        <v>28</v>
      </c>
      <c r="C26" s="8">
        <v>4</v>
      </c>
      <c r="D26">
        <v>0</v>
      </c>
      <c r="E26">
        <v>1</v>
      </c>
      <c r="F26" s="1">
        <v>3</v>
      </c>
      <c r="G26" s="4">
        <f ca="1">Table5[[#This Row],[Initiated]]/SUM(Table5[[#This Row],[Initiated]:[Ratio Initiated to total]])</f>
        <v>0</v>
      </c>
      <c r="H26" s="4">
        <f>Table5[[#This Row],[Not-Initiated or carry forwarded]]/SUM(Table5[[#This Row],[Initiated]:[Completed]])</f>
        <v>0.25</v>
      </c>
      <c r="I26" s="4">
        <f>Table5[[#This Row],[Completed]]/SUM(Table5[[#This Row],[Initiated]:[Completed]])</f>
        <v>0.75</v>
      </c>
      <c r="K26" s="8" t="s">
        <v>28</v>
      </c>
      <c r="L26" s="8">
        <v>19</v>
      </c>
      <c r="M26">
        <v>4</v>
      </c>
      <c r="N26">
        <v>6</v>
      </c>
      <c r="O26" s="1">
        <v>9</v>
      </c>
      <c r="P26" s="4">
        <f>Table6[[#This Row],[Initiated]]/SUM(Table6[[#This Row],[Initiated]:[Completed]])</f>
        <v>0.21052631578947367</v>
      </c>
      <c r="Q26" s="4">
        <f>Table6[[#This Row],[Not-Initiated or carry forwarded]]/SUM(Table6[[#This Row],[Initiated]:[Completed]])</f>
        <v>0.31578947368421051</v>
      </c>
      <c r="R26" s="4">
        <f>Table6[[#This Row],[Completed]]/SUM(Table6[[#This Row],[Initiated]:[Completed]])</f>
        <v>0.47368421052631576</v>
      </c>
    </row>
    <row r="27" spans="2:18" x14ac:dyDescent="0.25">
      <c r="B27" s="7" t="s">
        <v>29</v>
      </c>
      <c r="C27" s="7">
        <v>23</v>
      </c>
      <c r="D27">
        <v>4</v>
      </c>
      <c r="E27">
        <v>3</v>
      </c>
      <c r="F27" s="1">
        <v>16</v>
      </c>
      <c r="G27" s="4">
        <f ca="1">Table5[[#This Row],[Initiated]]/SUM(Table5[[#This Row],[Initiated]:[Ratio Initiated to total]])</f>
        <v>0.17391304347826086</v>
      </c>
      <c r="H27" s="4">
        <f>Table5[[#This Row],[Not-Initiated or carry forwarded]]/SUM(Table5[[#This Row],[Initiated]:[Completed]])</f>
        <v>0.13043478260869565</v>
      </c>
      <c r="I27" s="4">
        <f>Table5[[#This Row],[Completed]]/SUM(Table5[[#This Row],[Initiated]:[Completed]])</f>
        <v>0.69565217391304346</v>
      </c>
      <c r="K27" s="7" t="s">
        <v>29</v>
      </c>
      <c r="L27" s="7">
        <v>16</v>
      </c>
      <c r="M27">
        <v>5</v>
      </c>
      <c r="N27">
        <v>1</v>
      </c>
      <c r="O27" s="1">
        <v>10</v>
      </c>
      <c r="P27" s="4">
        <f>Table6[[#This Row],[Initiated]]/SUM(Table6[[#This Row],[Initiated]:[Completed]])</f>
        <v>0.3125</v>
      </c>
      <c r="Q27" s="4">
        <f>Table6[[#This Row],[Not-Initiated or carry forwarded]]/SUM(Table6[[#This Row],[Initiated]:[Completed]])</f>
        <v>6.25E-2</v>
      </c>
      <c r="R27" s="4">
        <f>Table6[[#This Row],[Completed]]/SUM(Table6[[#This Row],[Initiated]:[Completed]])</f>
        <v>0.625</v>
      </c>
    </row>
    <row r="28" spans="2:18" x14ac:dyDescent="0.25">
      <c r="B28" s="8" t="s">
        <v>30</v>
      </c>
      <c r="C28" s="8">
        <v>16</v>
      </c>
      <c r="D28">
        <v>1</v>
      </c>
      <c r="E28">
        <v>0</v>
      </c>
      <c r="F28" s="1">
        <v>15</v>
      </c>
      <c r="G28" s="4">
        <f ca="1">Table5[[#This Row],[Initiated]]/SUM(Table5[[#This Row],[Initiated]:[Ratio Initiated to total]])</f>
        <v>6.25E-2</v>
      </c>
      <c r="H28" s="4">
        <f>Table5[[#This Row],[Not-Initiated or carry forwarded]]/SUM(Table5[[#This Row],[Initiated]:[Completed]])</f>
        <v>0</v>
      </c>
      <c r="I28" s="4">
        <f>Table5[[#This Row],[Completed]]/SUM(Table5[[#This Row],[Initiated]:[Completed]])</f>
        <v>0.9375</v>
      </c>
      <c r="K28" s="8" t="s">
        <v>30</v>
      </c>
      <c r="L28" s="8">
        <v>14</v>
      </c>
      <c r="M28">
        <v>0</v>
      </c>
      <c r="N28">
        <v>1</v>
      </c>
      <c r="O28" s="1">
        <v>13</v>
      </c>
      <c r="P28" s="4">
        <f>Table6[[#This Row],[Initiated]]/SUM(Table6[[#This Row],[Initiated]:[Completed]])</f>
        <v>0</v>
      </c>
      <c r="Q28" s="4">
        <f>Table6[[#This Row],[Not-Initiated or carry forwarded]]/SUM(Table6[[#This Row],[Initiated]:[Completed]])</f>
        <v>7.1428571428571425E-2</v>
      </c>
      <c r="R28" s="4">
        <f>Table6[[#This Row],[Completed]]/SUM(Table6[[#This Row],[Initiated]:[Completed]])</f>
        <v>0.9285714285714286</v>
      </c>
    </row>
    <row r="29" spans="2:18" x14ac:dyDescent="0.25">
      <c r="B29" s="7" t="s">
        <v>31</v>
      </c>
      <c r="C29" s="7">
        <v>19</v>
      </c>
      <c r="D29">
        <v>2</v>
      </c>
      <c r="E29">
        <v>6</v>
      </c>
      <c r="F29" s="1">
        <v>11</v>
      </c>
      <c r="G29" s="4">
        <f ca="1">Table5[[#This Row],[Initiated]]/SUM(Table5[[#This Row],[Initiated]:[Ratio Initiated to total]])</f>
        <v>0.10526315789473684</v>
      </c>
      <c r="H29" s="4">
        <f>Table5[[#This Row],[Not-Initiated or carry forwarded]]/SUM(Table5[[#This Row],[Initiated]:[Completed]])</f>
        <v>0.31578947368421051</v>
      </c>
      <c r="I29" s="4">
        <f>Table5[[#This Row],[Completed]]/SUM(Table5[[#This Row],[Initiated]:[Completed]])</f>
        <v>0.57894736842105265</v>
      </c>
      <c r="K29" s="7" t="s">
        <v>31</v>
      </c>
      <c r="L29" s="7">
        <v>11</v>
      </c>
      <c r="M29">
        <v>2</v>
      </c>
      <c r="N29">
        <v>1</v>
      </c>
      <c r="O29" s="1">
        <v>8</v>
      </c>
      <c r="P29" s="4">
        <f>Table6[[#This Row],[Initiated]]/SUM(Table6[[#This Row],[Initiated]:[Completed]])</f>
        <v>0.18181818181818182</v>
      </c>
      <c r="Q29" s="4">
        <f>Table6[[#This Row],[Not-Initiated or carry forwarded]]/SUM(Table6[[#This Row],[Initiated]:[Completed]])</f>
        <v>9.0909090909090912E-2</v>
      </c>
      <c r="R29" s="4">
        <f>Table6[[#This Row],[Completed]]/SUM(Table6[[#This Row],[Initiated]:[Completed]])</f>
        <v>0.72727272727272729</v>
      </c>
    </row>
    <row r="30" spans="2:18" x14ac:dyDescent="0.25">
      <c r="B30" s="8" t="s">
        <v>32</v>
      </c>
      <c r="C30" s="8">
        <v>22</v>
      </c>
      <c r="D30">
        <v>1</v>
      </c>
      <c r="E30">
        <v>1</v>
      </c>
      <c r="F30" s="1">
        <v>20</v>
      </c>
      <c r="G30" s="4">
        <f ca="1">Table5[[#This Row],[Initiated]]/SUM(Table5[[#This Row],[Initiated]:[Ratio Initiated to total]])</f>
        <v>4.5454545454545456E-2</v>
      </c>
      <c r="H30" s="4">
        <f>Table5[[#This Row],[Not-Initiated or carry forwarded]]/SUM(Table5[[#This Row],[Initiated]:[Completed]])</f>
        <v>4.5454545454545456E-2</v>
      </c>
      <c r="I30" s="4">
        <f>Table5[[#This Row],[Completed]]/SUM(Table5[[#This Row],[Initiated]:[Completed]])</f>
        <v>0.90909090909090906</v>
      </c>
      <c r="K30" s="8" t="s">
        <v>32</v>
      </c>
      <c r="L30" s="8">
        <v>15</v>
      </c>
      <c r="M30">
        <v>3</v>
      </c>
      <c r="N30">
        <v>6</v>
      </c>
      <c r="O30" s="1">
        <v>6</v>
      </c>
      <c r="P30" s="4">
        <f>Table6[[#This Row],[Initiated]]/SUM(Table6[[#This Row],[Initiated]:[Completed]])</f>
        <v>0.2</v>
      </c>
      <c r="Q30" s="4">
        <f>Table6[[#This Row],[Not-Initiated or carry forwarded]]/SUM(Table6[[#This Row],[Initiated]:[Completed]])</f>
        <v>0.4</v>
      </c>
      <c r="R30" s="4">
        <f>Table6[[#This Row],[Completed]]/SUM(Table6[[#This Row],[Initiated]:[Completed]])</f>
        <v>0.4</v>
      </c>
    </row>
    <row r="50" spans="16:18" x14ac:dyDescent="0.25">
      <c r="P50" s="3"/>
      <c r="Q50" s="3"/>
      <c r="R50" s="3"/>
    </row>
  </sheetData>
  <mergeCells count="2">
    <mergeCell ref="D3:F3"/>
    <mergeCell ref="N3:P3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workbookViewId="0">
      <selection activeCell="G22" sqref="G22"/>
    </sheetView>
  </sheetViews>
  <sheetFormatPr defaultRowHeight="15" x14ac:dyDescent="0.25"/>
  <cols>
    <col min="2" max="2" width="14.28515625" customWidth="1"/>
    <col min="3" max="3" width="24.28515625" customWidth="1"/>
    <col min="4" max="4" width="10.7109375" customWidth="1"/>
    <col min="5" max="5" width="31.42578125" customWidth="1"/>
    <col min="6" max="6" width="13" customWidth="1"/>
    <col min="7" max="7" width="22.5703125" customWidth="1"/>
    <col min="8" max="8" width="31.42578125" customWidth="1"/>
    <col min="9" max="9" width="24.5703125" customWidth="1"/>
  </cols>
  <sheetData>
    <row r="1" spans="2:9" x14ac:dyDescent="0.25">
      <c r="B1" t="s">
        <v>82</v>
      </c>
    </row>
    <row r="3" spans="2:9" x14ac:dyDescent="0.25">
      <c r="B3" t="s">
        <v>54</v>
      </c>
      <c r="C3" t="s">
        <v>93</v>
      </c>
      <c r="D3" t="s">
        <v>42</v>
      </c>
      <c r="E3" t="s">
        <v>48</v>
      </c>
      <c r="F3" t="s">
        <v>43</v>
      </c>
      <c r="G3" t="s">
        <v>58</v>
      </c>
      <c r="H3" t="s">
        <v>59</v>
      </c>
      <c r="I3" t="s">
        <v>60</v>
      </c>
    </row>
    <row r="4" spans="2:9" x14ac:dyDescent="0.25">
      <c r="B4" t="s">
        <v>55</v>
      </c>
      <c r="C4">
        <v>422</v>
      </c>
      <c r="D4">
        <v>116</v>
      </c>
      <c r="E4">
        <v>72</v>
      </c>
      <c r="F4">
        <v>234</v>
      </c>
      <c r="G4" s="3">
        <v>0.27488151658767773</v>
      </c>
      <c r="H4" s="3">
        <v>0.17061611374407584</v>
      </c>
      <c r="I4" s="3">
        <v>0.5545023696682464</v>
      </c>
    </row>
    <row r="22" spans="2:9" x14ac:dyDescent="0.25">
      <c r="B22" t="s">
        <v>54</v>
      </c>
      <c r="C22" t="s">
        <v>47</v>
      </c>
      <c r="D22" t="s">
        <v>42</v>
      </c>
      <c r="E22" t="s">
        <v>48</v>
      </c>
      <c r="F22" t="s">
        <v>43</v>
      </c>
      <c r="G22" t="s">
        <v>44</v>
      </c>
      <c r="H22" t="s">
        <v>45</v>
      </c>
      <c r="I22" t="s">
        <v>46</v>
      </c>
    </row>
    <row r="23" spans="2:9" x14ac:dyDescent="0.25">
      <c r="B23" t="s">
        <v>55</v>
      </c>
      <c r="C23">
        <v>348</v>
      </c>
      <c r="D23">
        <v>82</v>
      </c>
      <c r="E23">
        <v>75</v>
      </c>
      <c r="F23">
        <v>191</v>
      </c>
      <c r="G23" s="3">
        <v>0.23563218390804599</v>
      </c>
      <c r="H23" s="3">
        <v>0.21551724137931033</v>
      </c>
      <c r="I23" s="3">
        <v>0.54885057471264365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topLeftCell="A7" workbookViewId="0">
      <selection activeCell="D25" sqref="D25"/>
    </sheetView>
  </sheetViews>
  <sheetFormatPr defaultRowHeight="15" x14ac:dyDescent="0.25"/>
  <cols>
    <col min="1" max="1" width="17.7109375" customWidth="1"/>
    <col min="2" max="2" width="14.28515625" customWidth="1"/>
    <col min="3" max="3" width="17" bestFit="1" customWidth="1"/>
    <col min="4" max="5" width="11.42578125" bestFit="1" customWidth="1"/>
    <col min="6" max="6" width="19.42578125" customWidth="1"/>
    <col min="8" max="8" width="17.7109375" customWidth="1"/>
    <col min="9" max="9" width="17" bestFit="1" customWidth="1"/>
    <col min="10" max="10" width="18.42578125" customWidth="1"/>
    <col min="11" max="11" width="21" bestFit="1" customWidth="1"/>
    <col min="12" max="13" width="22.85546875" bestFit="1" customWidth="1"/>
  </cols>
  <sheetData>
    <row r="2" spans="1:6" x14ac:dyDescent="0.25">
      <c r="A2" t="s">
        <v>83</v>
      </c>
    </row>
    <row r="4" spans="1:6" x14ac:dyDescent="0.25">
      <c r="A4" t="s">
        <v>8</v>
      </c>
      <c r="B4" t="s">
        <v>49</v>
      </c>
      <c r="C4" t="s">
        <v>77</v>
      </c>
      <c r="E4" s="17" t="s">
        <v>49</v>
      </c>
      <c r="F4" t="s">
        <v>94</v>
      </c>
    </row>
    <row r="5" spans="1:6" x14ac:dyDescent="0.25">
      <c r="A5" s="11" t="s">
        <v>2</v>
      </c>
      <c r="B5" t="s">
        <v>95</v>
      </c>
      <c r="C5" s="15">
        <v>2</v>
      </c>
      <c r="E5" s="12" t="s">
        <v>50</v>
      </c>
      <c r="F5" t="s">
        <v>95</v>
      </c>
    </row>
    <row r="6" spans="1:6" x14ac:dyDescent="0.25">
      <c r="A6" s="13" t="s">
        <v>3</v>
      </c>
      <c r="B6" t="s">
        <v>96</v>
      </c>
      <c r="C6" s="15">
        <v>3</v>
      </c>
      <c r="E6" s="14" t="s">
        <v>51</v>
      </c>
      <c r="F6" t="s">
        <v>96</v>
      </c>
    </row>
    <row r="7" spans="1:6" x14ac:dyDescent="0.25">
      <c r="A7" s="11" t="s">
        <v>4</v>
      </c>
      <c r="B7" t="s">
        <v>97</v>
      </c>
      <c r="C7" s="15">
        <v>30</v>
      </c>
      <c r="E7" s="12" t="s">
        <v>52</v>
      </c>
      <c r="F7" t="s">
        <v>97</v>
      </c>
    </row>
    <row r="8" spans="1:6" x14ac:dyDescent="0.25">
      <c r="A8" s="13" t="s">
        <v>5</v>
      </c>
      <c r="B8" t="s">
        <v>98</v>
      </c>
      <c r="C8" s="15">
        <v>2</v>
      </c>
      <c r="E8" s="14" t="s">
        <v>53</v>
      </c>
      <c r="F8" t="s">
        <v>98</v>
      </c>
    </row>
    <row r="9" spans="1:6" x14ac:dyDescent="0.25">
      <c r="A9" s="11" t="s">
        <v>6</v>
      </c>
      <c r="B9" t="s">
        <v>96</v>
      </c>
      <c r="C9" s="15">
        <v>2</v>
      </c>
    </row>
    <row r="10" spans="1:6" x14ac:dyDescent="0.25">
      <c r="A10" s="13" t="s">
        <v>7</v>
      </c>
      <c r="B10" t="s">
        <v>96</v>
      </c>
      <c r="C10" s="15">
        <v>2</v>
      </c>
    </row>
    <row r="11" spans="1:6" x14ac:dyDescent="0.25">
      <c r="A11" s="11" t="s">
        <v>13</v>
      </c>
      <c r="B11" t="s">
        <v>98</v>
      </c>
      <c r="C11" s="15">
        <v>1</v>
      </c>
      <c r="E11" s="15"/>
      <c r="F11" s="15"/>
    </row>
    <row r="12" spans="1:6" x14ac:dyDescent="0.25">
      <c r="A12" s="13" t="s">
        <v>14</v>
      </c>
      <c r="B12" t="s">
        <v>95</v>
      </c>
      <c r="C12" s="15">
        <v>2</v>
      </c>
    </row>
    <row r="13" spans="1:6" x14ac:dyDescent="0.25">
      <c r="A13" s="11" t="s">
        <v>15</v>
      </c>
      <c r="B13" t="s">
        <v>96</v>
      </c>
      <c r="C13" s="15">
        <v>3</v>
      </c>
    </row>
    <row r="14" spans="1:6" x14ac:dyDescent="0.25">
      <c r="A14" s="13" t="s">
        <v>16</v>
      </c>
      <c r="B14" t="s">
        <v>98</v>
      </c>
      <c r="C14" s="15">
        <v>4</v>
      </c>
    </row>
    <row r="15" spans="1:6" x14ac:dyDescent="0.25">
      <c r="A15" s="11" t="s">
        <v>17</v>
      </c>
      <c r="B15" t="s">
        <v>98</v>
      </c>
      <c r="C15" s="15">
        <v>5</v>
      </c>
    </row>
    <row r="16" spans="1:6" x14ac:dyDescent="0.25">
      <c r="A16" s="13" t="s">
        <v>18</v>
      </c>
      <c r="B16" t="s">
        <v>96</v>
      </c>
      <c r="C16" s="15">
        <v>6</v>
      </c>
    </row>
    <row r="17" spans="1:3" x14ac:dyDescent="0.25">
      <c r="A17" s="11" t="s">
        <v>19</v>
      </c>
      <c r="B17" t="s">
        <v>96</v>
      </c>
      <c r="C17" s="15">
        <v>7</v>
      </c>
    </row>
    <row r="18" spans="1:3" x14ac:dyDescent="0.25">
      <c r="A18" s="13" t="s">
        <v>20</v>
      </c>
      <c r="B18" t="s">
        <v>96</v>
      </c>
      <c r="C18" s="15">
        <v>4</v>
      </c>
    </row>
    <row r="19" spans="1:3" x14ac:dyDescent="0.25">
      <c r="A19" s="11" t="s">
        <v>21</v>
      </c>
      <c r="B19" t="s">
        <v>95</v>
      </c>
      <c r="C19" s="15">
        <v>2</v>
      </c>
    </row>
    <row r="20" spans="1:3" x14ac:dyDescent="0.25">
      <c r="A20" s="13" t="s">
        <v>22</v>
      </c>
      <c r="B20" t="s">
        <v>95</v>
      </c>
      <c r="C20" s="15">
        <v>4</v>
      </c>
    </row>
    <row r="21" spans="1:3" x14ac:dyDescent="0.25">
      <c r="A21" s="11" t="s">
        <v>23</v>
      </c>
      <c r="B21" t="s">
        <v>95</v>
      </c>
      <c r="C21" s="15">
        <v>4</v>
      </c>
    </row>
    <row r="22" spans="1:3" x14ac:dyDescent="0.25">
      <c r="A22" s="13" t="s">
        <v>24</v>
      </c>
      <c r="B22" t="s">
        <v>98</v>
      </c>
      <c r="C22" s="15">
        <v>3</v>
      </c>
    </row>
    <row r="23" spans="1:3" x14ac:dyDescent="0.25">
      <c r="A23" s="11" t="s">
        <v>25</v>
      </c>
      <c r="B23" t="s">
        <v>96</v>
      </c>
      <c r="C23" s="15">
        <v>1</v>
      </c>
    </row>
    <row r="24" spans="1:3" x14ac:dyDescent="0.25">
      <c r="A24" s="13" t="s">
        <v>26</v>
      </c>
      <c r="B24" t="s">
        <v>96</v>
      </c>
      <c r="C24" s="15">
        <v>2</v>
      </c>
    </row>
    <row r="25" spans="1:3" x14ac:dyDescent="0.25">
      <c r="A25" s="11" t="s">
        <v>27</v>
      </c>
      <c r="B25" t="s">
        <v>97</v>
      </c>
      <c r="C25" s="15">
        <v>40</v>
      </c>
    </row>
    <row r="26" spans="1:3" x14ac:dyDescent="0.25">
      <c r="A26" s="13" t="s">
        <v>28</v>
      </c>
      <c r="B26" t="s">
        <v>97</v>
      </c>
      <c r="C26" s="15">
        <v>45</v>
      </c>
    </row>
    <row r="27" spans="1:3" x14ac:dyDescent="0.25">
      <c r="A27" s="11" t="s">
        <v>29</v>
      </c>
      <c r="B27" t="s">
        <v>95</v>
      </c>
      <c r="C27" s="15">
        <v>4</v>
      </c>
    </row>
    <row r="28" spans="1:3" x14ac:dyDescent="0.25">
      <c r="A28" s="13" t="s">
        <v>30</v>
      </c>
      <c r="B28" t="s">
        <v>95</v>
      </c>
      <c r="C28" s="15">
        <v>3</v>
      </c>
    </row>
    <row r="29" spans="1:3" x14ac:dyDescent="0.25">
      <c r="A29" s="11" t="s">
        <v>31</v>
      </c>
      <c r="B29" t="s">
        <v>98</v>
      </c>
      <c r="C29" s="15">
        <v>5</v>
      </c>
    </row>
    <row r="30" spans="1:3" x14ac:dyDescent="0.25">
      <c r="A30" s="13" t="s">
        <v>32</v>
      </c>
      <c r="B30" t="s">
        <v>96</v>
      </c>
      <c r="C30" s="15">
        <v>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3"/>
  <sheetViews>
    <sheetView workbookViewId="0">
      <selection activeCell="E14" sqref="E14"/>
    </sheetView>
  </sheetViews>
  <sheetFormatPr defaultRowHeight="15" x14ac:dyDescent="0.25"/>
  <cols>
    <col min="2" max="3" width="13" customWidth="1"/>
  </cols>
  <sheetData>
    <row r="1" spans="2:4" x14ac:dyDescent="0.25">
      <c r="B1" t="s">
        <v>84</v>
      </c>
    </row>
    <row r="3" spans="2:4" x14ac:dyDescent="0.25">
      <c r="B3" t="s">
        <v>61</v>
      </c>
      <c r="C3" t="s">
        <v>62</v>
      </c>
      <c r="D3" t="s">
        <v>78</v>
      </c>
    </row>
    <row r="4" spans="2:4" x14ac:dyDescent="0.25">
      <c r="B4" t="s">
        <v>63</v>
      </c>
      <c r="C4" s="15">
        <f>'Empl''s leave analysis-mthly'!C5+'Empl''s leave analysis-mthly'!C9+'Empl''s leave analysis-mthly'!C12+'Empl''s leave analysis-mthly'!C19+'Empl''s leave analysis-mthly'!C20+'Empl''s leave analysis-mthly'!C21+'Empl''s leave analysis-mthly'!C27+'Empl''s leave analysis-mthly'!C28</f>
        <v>23</v>
      </c>
      <c r="D4" s="3">
        <f>Table16[[#This Row],[No. of days]]/C8</f>
        <v>0.11979166666666667</v>
      </c>
    </row>
    <row r="5" spans="2:4" x14ac:dyDescent="0.25">
      <c r="B5" t="s">
        <v>51</v>
      </c>
      <c r="C5" s="15">
        <f>'Empl''s leave analysis-mthly'!C6+'Empl''s leave analysis-mthly'!C10+'Empl''s leave analysis-mthly'!C13+'Empl''s leave analysis-mthly'!C16+'Empl''s leave analysis-mthly'!C17+'Empl''s leave analysis-mthly'!C18+'Empl''s leave analysis-mthly'!C23+'Empl''s leave analysis-mthly'!C24+'Empl''s leave analysis-mthly'!C30</f>
        <v>34</v>
      </c>
      <c r="D5" s="3">
        <f>Table16[[#This Row],[No. of days]]/C8</f>
        <v>0.17708333333333334</v>
      </c>
    </row>
    <row r="6" spans="2:4" x14ac:dyDescent="0.25">
      <c r="B6" t="s">
        <v>52</v>
      </c>
      <c r="C6" s="15">
        <f>'Empl''s leave analysis-mthly'!C7+'Empl''s leave analysis-mthly'!C25+'Empl''s leave analysis-mthly'!C26</f>
        <v>115</v>
      </c>
      <c r="D6" s="3">
        <f>Table16[[#This Row],[No. of days]]/C8</f>
        <v>0.59895833333333337</v>
      </c>
    </row>
    <row r="7" spans="2:4" x14ac:dyDescent="0.25">
      <c r="B7" t="s">
        <v>64</v>
      </c>
      <c r="C7" s="15">
        <f>'Empl''s leave analysis-mthly'!C8+'Empl''s leave analysis-mthly'!C11+'Empl''s leave analysis-mthly'!C14+'Empl''s leave analysis-mthly'!C15+'Empl''s leave analysis-mthly'!C22+'Empl''s leave analysis-mthly'!C29</f>
        <v>20</v>
      </c>
      <c r="D7" s="3">
        <f>Table16[[#This Row],[No. of days]]/C8</f>
        <v>0.10416666666666667</v>
      </c>
    </row>
    <row r="8" spans="2:4" x14ac:dyDescent="0.25">
      <c r="B8" t="s">
        <v>41</v>
      </c>
      <c r="C8" s="15">
        <f>SUM(C4:C7)</f>
        <v>192</v>
      </c>
    </row>
    <row r="13" spans="2:4" x14ac:dyDescent="0.25">
      <c r="B13" s="3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topLeftCell="A7" workbookViewId="0">
      <selection activeCell="H11" sqref="H11"/>
    </sheetView>
  </sheetViews>
  <sheetFormatPr defaultRowHeight="15" x14ac:dyDescent="0.25"/>
  <cols>
    <col min="2" max="2" width="17.7109375" customWidth="1"/>
    <col min="3" max="8" width="15.5703125" customWidth="1"/>
    <col min="10" max="10" width="10.140625" customWidth="1"/>
    <col min="11" max="11" width="17.28515625" customWidth="1"/>
    <col min="12" max="12" width="15.85546875" customWidth="1"/>
    <col min="13" max="13" width="24.5703125" customWidth="1"/>
  </cols>
  <sheetData>
    <row r="1" spans="2:12" x14ac:dyDescent="0.25">
      <c r="B1" t="s">
        <v>85</v>
      </c>
    </row>
    <row r="3" spans="2:12" x14ac:dyDescent="0.25">
      <c r="B3" s="17" t="s">
        <v>8</v>
      </c>
      <c r="C3" t="s">
        <v>65</v>
      </c>
      <c r="D3" t="s">
        <v>86</v>
      </c>
      <c r="E3" t="s">
        <v>87</v>
      </c>
      <c r="F3" t="s">
        <v>88</v>
      </c>
      <c r="G3" t="s">
        <v>89</v>
      </c>
      <c r="I3" t="s">
        <v>66</v>
      </c>
      <c r="J3" t="s">
        <v>67</v>
      </c>
      <c r="K3" t="s">
        <v>68</v>
      </c>
      <c r="L3" t="s">
        <v>69</v>
      </c>
    </row>
    <row r="4" spans="2:12" x14ac:dyDescent="0.25">
      <c r="B4" s="7" t="s">
        <v>2</v>
      </c>
      <c r="C4">
        <v>4</v>
      </c>
      <c r="D4">
        <v>2</v>
      </c>
      <c r="E4">
        <f>Table18[[#This Row],[Courses taken]]-Table18[[#This Row],[Completed courses]]</f>
        <v>2</v>
      </c>
      <c r="F4" s="3">
        <f>Table18[[#This Row],[Completed courses]]/Table18[[#This Row],[Courses taken]]</f>
        <v>0.5</v>
      </c>
      <c r="G4" s="3">
        <f>Table18[[#This Row],[Pending courses]]/Table18[[#This Row],[Courses taken]]</f>
        <v>0.5</v>
      </c>
      <c r="H4" s="3"/>
      <c r="I4">
        <v>1</v>
      </c>
      <c r="J4" t="s">
        <v>70</v>
      </c>
      <c r="K4">
        <v>500</v>
      </c>
      <c r="L4" t="s">
        <v>75</v>
      </c>
    </row>
    <row r="5" spans="2:12" x14ac:dyDescent="0.25">
      <c r="B5" s="8" t="s">
        <v>3</v>
      </c>
      <c r="C5">
        <v>1</v>
      </c>
      <c r="D5">
        <v>1</v>
      </c>
      <c r="E5">
        <f>Table18[[#This Row],[Courses taken]]-Table18[[#This Row],[Completed courses]]</f>
        <v>0</v>
      </c>
      <c r="F5" s="3">
        <f>Table18[[#This Row],[Completed courses]]/Table18[[#This Row],[Courses taken]]</f>
        <v>1</v>
      </c>
      <c r="G5" s="3">
        <f>Table18[[#This Row],[Pending courses]]/Table18[[#This Row],[Courses taken]]</f>
        <v>0</v>
      </c>
      <c r="H5" s="3"/>
      <c r="I5">
        <v>2</v>
      </c>
      <c r="J5" t="s">
        <v>71</v>
      </c>
      <c r="K5">
        <v>500</v>
      </c>
      <c r="L5" t="s">
        <v>75</v>
      </c>
    </row>
    <row r="6" spans="2:12" x14ac:dyDescent="0.25">
      <c r="B6" s="7" t="s">
        <v>4</v>
      </c>
      <c r="C6">
        <v>3</v>
      </c>
      <c r="D6">
        <v>1</v>
      </c>
      <c r="E6">
        <f>Table18[[#This Row],[Courses taken]]-Table18[[#This Row],[Completed courses]]</f>
        <v>2</v>
      </c>
      <c r="F6" s="3">
        <f>Table18[[#This Row],[Completed courses]]/Table18[[#This Row],[Courses taken]]</f>
        <v>0.33333333333333331</v>
      </c>
      <c r="G6" s="3">
        <f>Table18[[#This Row],[Pending courses]]/Table18[[#This Row],[Courses taken]]</f>
        <v>0.66666666666666663</v>
      </c>
      <c r="H6" s="3"/>
      <c r="I6">
        <v>3</v>
      </c>
      <c r="J6" t="s">
        <v>74</v>
      </c>
      <c r="K6">
        <v>500</v>
      </c>
      <c r="L6" t="s">
        <v>75</v>
      </c>
    </row>
    <row r="7" spans="2:12" x14ac:dyDescent="0.25">
      <c r="B7" s="8" t="s">
        <v>5</v>
      </c>
      <c r="C7">
        <v>2</v>
      </c>
      <c r="D7">
        <v>2</v>
      </c>
      <c r="E7">
        <f>Table18[[#This Row],[Courses taken]]-Table18[[#This Row],[Completed courses]]</f>
        <v>0</v>
      </c>
      <c r="F7" s="3">
        <f>Table18[[#This Row],[Completed courses]]/Table18[[#This Row],[Courses taken]]</f>
        <v>1</v>
      </c>
      <c r="G7" s="3">
        <f>Table18[[#This Row],[Pending courses]]/Table18[[#This Row],[Courses taken]]</f>
        <v>0</v>
      </c>
      <c r="H7" s="3"/>
      <c r="I7">
        <v>4</v>
      </c>
      <c r="J7" t="s">
        <v>72</v>
      </c>
      <c r="K7">
        <v>500</v>
      </c>
      <c r="L7" t="s">
        <v>75</v>
      </c>
    </row>
    <row r="8" spans="2:12" x14ac:dyDescent="0.25">
      <c r="B8" s="7" t="s">
        <v>6</v>
      </c>
      <c r="C8">
        <v>1</v>
      </c>
      <c r="D8">
        <v>1</v>
      </c>
      <c r="E8">
        <f>Table18[[#This Row],[Courses taken]]-Table18[[#This Row],[Completed courses]]</f>
        <v>0</v>
      </c>
      <c r="F8" s="3">
        <f>Table18[[#This Row],[Completed courses]]/Table18[[#This Row],[Courses taken]]</f>
        <v>1</v>
      </c>
      <c r="G8" s="3">
        <f>Table18[[#This Row],[Pending courses]]/Table18[[#This Row],[Courses taken]]</f>
        <v>0</v>
      </c>
      <c r="H8" s="3"/>
      <c r="I8">
        <v>5</v>
      </c>
      <c r="J8" t="s">
        <v>73</v>
      </c>
      <c r="K8">
        <v>500</v>
      </c>
      <c r="L8" t="s">
        <v>76</v>
      </c>
    </row>
    <row r="9" spans="2:12" x14ac:dyDescent="0.25">
      <c r="B9" s="8" t="s">
        <v>7</v>
      </c>
      <c r="C9">
        <v>4</v>
      </c>
      <c r="D9">
        <v>3</v>
      </c>
      <c r="E9">
        <f>Table18[[#This Row],[Courses taken]]-Table18[[#This Row],[Completed courses]]</f>
        <v>1</v>
      </c>
      <c r="F9" s="3">
        <f>Table18[[#This Row],[Completed courses]]/Table18[[#This Row],[Courses taken]]</f>
        <v>0.75</v>
      </c>
      <c r="G9" s="3">
        <f>Table18[[#This Row],[Pending courses]]/Table18[[#This Row],[Courses taken]]</f>
        <v>0.25</v>
      </c>
      <c r="H9" s="3"/>
    </row>
    <row r="10" spans="2:12" x14ac:dyDescent="0.25">
      <c r="B10" s="7" t="s">
        <v>13</v>
      </c>
      <c r="C10">
        <v>3</v>
      </c>
      <c r="D10">
        <v>2</v>
      </c>
      <c r="E10">
        <f>Table18[[#This Row],[Courses taken]]-Table18[[#This Row],[Completed courses]]</f>
        <v>1</v>
      </c>
      <c r="F10" s="3">
        <f>Table18[[#This Row],[Completed courses]]/Table18[[#This Row],[Courses taken]]</f>
        <v>0.66666666666666663</v>
      </c>
      <c r="G10" s="3">
        <f>Table18[[#This Row],[Pending courses]]/Table18[[#This Row],[Courses taken]]</f>
        <v>0.33333333333333331</v>
      </c>
      <c r="H10" s="3"/>
    </row>
    <row r="11" spans="2:12" x14ac:dyDescent="0.25">
      <c r="B11" s="8" t="s">
        <v>14</v>
      </c>
      <c r="C11">
        <v>4</v>
      </c>
      <c r="D11">
        <v>4</v>
      </c>
      <c r="E11">
        <f>Table18[[#This Row],[Courses taken]]-Table18[[#This Row],[Completed courses]]</f>
        <v>0</v>
      </c>
      <c r="F11" s="3">
        <f>Table18[[#This Row],[Completed courses]]/Table18[[#This Row],[Courses taken]]</f>
        <v>1</v>
      </c>
      <c r="G11" s="3">
        <f>Table18[[#This Row],[Pending courses]]/Table18[[#This Row],[Courses taken]]</f>
        <v>0</v>
      </c>
      <c r="H11" s="3"/>
    </row>
    <row r="12" spans="2:12" x14ac:dyDescent="0.25">
      <c r="B12" s="7" t="s">
        <v>15</v>
      </c>
      <c r="C12">
        <v>3</v>
      </c>
      <c r="D12">
        <v>1</v>
      </c>
      <c r="E12">
        <f>Table18[[#This Row],[Courses taken]]-Table18[[#This Row],[Completed courses]]</f>
        <v>2</v>
      </c>
      <c r="F12" s="3">
        <f>Table18[[#This Row],[Completed courses]]/Table18[[#This Row],[Courses taken]]</f>
        <v>0.33333333333333331</v>
      </c>
      <c r="G12" s="3">
        <f>Table18[[#This Row],[Pending courses]]/Table18[[#This Row],[Courses taken]]</f>
        <v>0.66666666666666663</v>
      </c>
      <c r="H12" s="3"/>
    </row>
    <row r="13" spans="2:12" x14ac:dyDescent="0.25">
      <c r="B13" s="8" t="s">
        <v>16</v>
      </c>
      <c r="C13">
        <v>4</v>
      </c>
      <c r="D13">
        <v>2</v>
      </c>
      <c r="E13">
        <f>Table18[[#This Row],[Courses taken]]-Table18[[#This Row],[Completed courses]]</f>
        <v>2</v>
      </c>
      <c r="F13" s="3">
        <f>Table18[[#This Row],[Completed courses]]/Table18[[#This Row],[Courses taken]]</f>
        <v>0.5</v>
      </c>
      <c r="G13" s="3">
        <f>Table18[[#This Row],[Pending courses]]/Table18[[#This Row],[Courses taken]]</f>
        <v>0.5</v>
      </c>
      <c r="H13" s="3"/>
    </row>
    <row r="14" spans="2:12" x14ac:dyDescent="0.25">
      <c r="B14" s="7" t="s">
        <v>17</v>
      </c>
      <c r="C14">
        <v>3</v>
      </c>
      <c r="D14">
        <v>3</v>
      </c>
      <c r="E14">
        <f>Table18[[#This Row],[Courses taken]]-Table18[[#This Row],[Completed courses]]</f>
        <v>0</v>
      </c>
      <c r="F14" s="3">
        <f>Table18[[#This Row],[Completed courses]]/Table18[[#This Row],[Courses taken]]</f>
        <v>1</v>
      </c>
      <c r="G14" s="3">
        <f>Table18[[#This Row],[Pending courses]]/Table18[[#This Row],[Courses taken]]</f>
        <v>0</v>
      </c>
      <c r="H14" s="3"/>
    </row>
    <row r="15" spans="2:12" x14ac:dyDescent="0.25">
      <c r="B15" s="8" t="s">
        <v>18</v>
      </c>
      <c r="C15">
        <v>1</v>
      </c>
      <c r="D15">
        <v>1</v>
      </c>
      <c r="E15">
        <f>Table18[[#This Row],[Courses taken]]-Table18[[#This Row],[Completed courses]]</f>
        <v>0</v>
      </c>
      <c r="F15" s="3">
        <f>Table18[[#This Row],[Completed courses]]/Table18[[#This Row],[Courses taken]]</f>
        <v>1</v>
      </c>
      <c r="G15" s="3">
        <f>Table18[[#This Row],[Pending courses]]/Table18[[#This Row],[Courses taken]]</f>
        <v>0</v>
      </c>
      <c r="H15" s="3"/>
    </row>
    <row r="16" spans="2:12" x14ac:dyDescent="0.25">
      <c r="B16" s="7" t="s">
        <v>19</v>
      </c>
      <c r="C16">
        <v>3</v>
      </c>
      <c r="D16">
        <v>2</v>
      </c>
      <c r="E16">
        <f>Table18[[#This Row],[Courses taken]]-Table18[[#This Row],[Completed courses]]</f>
        <v>1</v>
      </c>
      <c r="F16" s="3">
        <f>Table18[[#This Row],[Completed courses]]/Table18[[#This Row],[Courses taken]]</f>
        <v>0.66666666666666663</v>
      </c>
      <c r="G16" s="3">
        <f>Table18[[#This Row],[Pending courses]]/Table18[[#This Row],[Courses taken]]</f>
        <v>0.33333333333333331</v>
      </c>
      <c r="H16" s="3"/>
    </row>
    <row r="17" spans="2:8" x14ac:dyDescent="0.25">
      <c r="B17" s="8" t="s">
        <v>20</v>
      </c>
      <c r="C17">
        <v>3</v>
      </c>
      <c r="D17">
        <v>2</v>
      </c>
      <c r="E17">
        <f>Table18[[#This Row],[Courses taken]]-Table18[[#This Row],[Completed courses]]</f>
        <v>1</v>
      </c>
      <c r="F17" s="3">
        <f>Table18[[#This Row],[Completed courses]]/Table18[[#This Row],[Courses taken]]</f>
        <v>0.66666666666666663</v>
      </c>
      <c r="G17" s="3">
        <f>Table18[[#This Row],[Pending courses]]/Table18[[#This Row],[Courses taken]]</f>
        <v>0.33333333333333331</v>
      </c>
      <c r="H17" s="3"/>
    </row>
    <row r="18" spans="2:8" x14ac:dyDescent="0.25">
      <c r="B18" s="7" t="s">
        <v>21</v>
      </c>
      <c r="C18">
        <v>2</v>
      </c>
      <c r="D18">
        <v>1</v>
      </c>
      <c r="E18">
        <f>Table18[[#This Row],[Courses taken]]-Table18[[#This Row],[Completed courses]]</f>
        <v>1</v>
      </c>
      <c r="F18" s="3">
        <f>Table18[[#This Row],[Completed courses]]/Table18[[#This Row],[Courses taken]]</f>
        <v>0.5</v>
      </c>
      <c r="G18" s="3">
        <f>Table18[[#This Row],[Pending courses]]/Table18[[#This Row],[Courses taken]]</f>
        <v>0.5</v>
      </c>
      <c r="H18" s="3"/>
    </row>
    <row r="19" spans="2:8" x14ac:dyDescent="0.25">
      <c r="B19" s="8" t="s">
        <v>22</v>
      </c>
      <c r="C19">
        <v>4</v>
      </c>
      <c r="D19">
        <v>3</v>
      </c>
      <c r="E19">
        <f>Table18[[#This Row],[Courses taken]]-Table18[[#This Row],[Completed courses]]</f>
        <v>1</v>
      </c>
      <c r="F19" s="3">
        <f>Table18[[#This Row],[Completed courses]]/Table18[[#This Row],[Courses taken]]</f>
        <v>0.75</v>
      </c>
      <c r="G19" s="3">
        <f>Table18[[#This Row],[Pending courses]]/Table18[[#This Row],[Courses taken]]</f>
        <v>0.25</v>
      </c>
      <c r="H19" s="3"/>
    </row>
    <row r="20" spans="2:8" x14ac:dyDescent="0.25">
      <c r="B20" s="7" t="s">
        <v>23</v>
      </c>
      <c r="C20">
        <v>2</v>
      </c>
      <c r="D20">
        <v>2</v>
      </c>
      <c r="E20">
        <f>Table18[[#This Row],[Courses taken]]-Table18[[#This Row],[Completed courses]]</f>
        <v>0</v>
      </c>
      <c r="F20" s="3">
        <f>Table18[[#This Row],[Completed courses]]/Table18[[#This Row],[Courses taken]]</f>
        <v>1</v>
      </c>
      <c r="G20" s="3">
        <f>Table18[[#This Row],[Pending courses]]/Table18[[#This Row],[Courses taken]]</f>
        <v>0</v>
      </c>
      <c r="H20" s="3"/>
    </row>
    <row r="21" spans="2:8" x14ac:dyDescent="0.25">
      <c r="B21" s="8" t="s">
        <v>24</v>
      </c>
      <c r="C21">
        <v>4</v>
      </c>
      <c r="D21">
        <v>4</v>
      </c>
      <c r="E21">
        <f>Table18[[#This Row],[Courses taken]]-Table18[[#This Row],[Completed courses]]</f>
        <v>0</v>
      </c>
      <c r="F21" s="3">
        <f>Table18[[#This Row],[Completed courses]]/Table18[[#This Row],[Courses taken]]</f>
        <v>1</v>
      </c>
      <c r="G21" s="3">
        <f>Table18[[#This Row],[Pending courses]]/Table18[[#This Row],[Courses taken]]</f>
        <v>0</v>
      </c>
      <c r="H21" s="3"/>
    </row>
    <row r="22" spans="2:8" x14ac:dyDescent="0.25">
      <c r="B22" s="7" t="s">
        <v>25</v>
      </c>
      <c r="C22">
        <v>3</v>
      </c>
      <c r="D22">
        <v>1</v>
      </c>
      <c r="E22">
        <f>Table18[[#This Row],[Courses taken]]-Table18[[#This Row],[Completed courses]]</f>
        <v>2</v>
      </c>
      <c r="F22" s="3">
        <f>Table18[[#This Row],[Completed courses]]/Table18[[#This Row],[Courses taken]]</f>
        <v>0.33333333333333331</v>
      </c>
      <c r="G22" s="3">
        <f>Table18[[#This Row],[Pending courses]]/Table18[[#This Row],[Courses taken]]</f>
        <v>0.66666666666666663</v>
      </c>
      <c r="H22" s="3"/>
    </row>
    <row r="23" spans="2:8" x14ac:dyDescent="0.25">
      <c r="B23" s="8" t="s">
        <v>26</v>
      </c>
      <c r="C23">
        <v>4</v>
      </c>
      <c r="D23">
        <v>1</v>
      </c>
      <c r="E23">
        <f>Table18[[#This Row],[Courses taken]]-Table18[[#This Row],[Completed courses]]</f>
        <v>3</v>
      </c>
      <c r="F23" s="3">
        <f>Table18[[#This Row],[Completed courses]]/Table18[[#This Row],[Courses taken]]</f>
        <v>0.25</v>
      </c>
      <c r="G23" s="3">
        <f>Table18[[#This Row],[Pending courses]]/Table18[[#This Row],[Courses taken]]</f>
        <v>0.75</v>
      </c>
      <c r="H23" s="3"/>
    </row>
    <row r="24" spans="2:8" x14ac:dyDescent="0.25">
      <c r="B24" s="7" t="s">
        <v>27</v>
      </c>
      <c r="C24">
        <v>2</v>
      </c>
      <c r="D24">
        <v>2</v>
      </c>
      <c r="E24">
        <f>Table18[[#This Row],[Courses taken]]-Table18[[#This Row],[Completed courses]]</f>
        <v>0</v>
      </c>
      <c r="F24" s="3">
        <f>Table18[[#This Row],[Completed courses]]/Table18[[#This Row],[Courses taken]]</f>
        <v>1</v>
      </c>
      <c r="G24" s="3">
        <f>Table18[[#This Row],[Pending courses]]/Table18[[#This Row],[Courses taken]]</f>
        <v>0</v>
      </c>
      <c r="H24" s="3"/>
    </row>
    <row r="25" spans="2:8" x14ac:dyDescent="0.25">
      <c r="B25" s="8" t="s">
        <v>28</v>
      </c>
      <c r="C25">
        <v>1</v>
      </c>
      <c r="D25">
        <v>0</v>
      </c>
      <c r="E25">
        <f>Table18[[#This Row],[Courses taken]]-Table18[[#This Row],[Completed courses]]</f>
        <v>1</v>
      </c>
      <c r="F25" s="3">
        <f>Table18[[#This Row],[Completed courses]]/Table18[[#This Row],[Courses taken]]</f>
        <v>0</v>
      </c>
      <c r="G25" s="3">
        <f>Table18[[#This Row],[Pending courses]]/Table18[[#This Row],[Courses taken]]</f>
        <v>1</v>
      </c>
      <c r="H25" s="3"/>
    </row>
    <row r="26" spans="2:8" x14ac:dyDescent="0.25">
      <c r="B26" s="7" t="s">
        <v>29</v>
      </c>
      <c r="C26">
        <v>2</v>
      </c>
      <c r="D26">
        <v>1</v>
      </c>
      <c r="E26">
        <f>Table18[[#This Row],[Courses taken]]-Table18[[#This Row],[Completed courses]]</f>
        <v>1</v>
      </c>
      <c r="F26" s="3">
        <f>Table18[[#This Row],[Completed courses]]/Table18[[#This Row],[Courses taken]]</f>
        <v>0.5</v>
      </c>
      <c r="G26" s="3">
        <f>Table18[[#This Row],[Pending courses]]/Table18[[#This Row],[Courses taken]]</f>
        <v>0.5</v>
      </c>
      <c r="H26" s="3"/>
    </row>
    <row r="27" spans="2:8" x14ac:dyDescent="0.25">
      <c r="B27" s="8" t="s">
        <v>30</v>
      </c>
      <c r="C27">
        <v>1</v>
      </c>
      <c r="D27">
        <v>0</v>
      </c>
      <c r="E27">
        <f>Table18[[#This Row],[Courses taken]]-Table18[[#This Row],[Completed courses]]</f>
        <v>1</v>
      </c>
      <c r="F27" s="3">
        <f>Table18[[#This Row],[Completed courses]]/Table18[[#This Row],[Courses taken]]</f>
        <v>0</v>
      </c>
      <c r="G27" s="3">
        <f>Table18[[#This Row],[Pending courses]]/Table18[[#This Row],[Courses taken]]</f>
        <v>1</v>
      </c>
      <c r="H27" s="3"/>
    </row>
    <row r="28" spans="2:8" x14ac:dyDescent="0.25">
      <c r="B28" s="7" t="s">
        <v>31</v>
      </c>
      <c r="C28">
        <v>4</v>
      </c>
      <c r="D28">
        <v>3</v>
      </c>
      <c r="E28">
        <f>Table18[[#This Row],[Courses taken]]-Table18[[#This Row],[Completed courses]]</f>
        <v>1</v>
      </c>
      <c r="F28" s="3">
        <f>Table18[[#This Row],[Completed courses]]/Table18[[#This Row],[Courses taken]]</f>
        <v>0.75</v>
      </c>
      <c r="G28" s="3">
        <f>Table18[[#This Row],[Pending courses]]/Table18[[#This Row],[Courses taken]]</f>
        <v>0.25</v>
      </c>
      <c r="H28" s="3"/>
    </row>
    <row r="29" spans="2:8" x14ac:dyDescent="0.25">
      <c r="B29" s="8" t="s">
        <v>32</v>
      </c>
      <c r="C29">
        <v>2</v>
      </c>
      <c r="D29">
        <v>1</v>
      </c>
      <c r="E29">
        <f>Table18[[#This Row],[Courses taken]]-Table18[[#This Row],[Completed courses]]</f>
        <v>1</v>
      </c>
      <c r="F29" s="3">
        <f>Table18[[#This Row],[Completed courses]]/Table18[[#This Row],[Courses taken]]</f>
        <v>0.5</v>
      </c>
      <c r="G29" s="3">
        <f>Table18[[#This Row],[Pending courses]]/Table18[[#This Row],[Courses taken]]</f>
        <v>0.5</v>
      </c>
      <c r="H29" s="3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"/>
  <sheetViews>
    <sheetView workbookViewId="0">
      <selection activeCell="B3" sqref="B3:G4"/>
    </sheetView>
  </sheetViews>
  <sheetFormatPr defaultRowHeight="15" x14ac:dyDescent="0.25"/>
  <cols>
    <col min="2" max="2" width="17.7109375" customWidth="1"/>
    <col min="3" max="3" width="15.5703125" customWidth="1"/>
    <col min="4" max="4" width="20.140625" customWidth="1"/>
    <col min="5" max="5" width="17.5703125" customWidth="1"/>
    <col min="6" max="6" width="46.5703125" customWidth="1"/>
    <col min="7" max="7" width="38.85546875" customWidth="1"/>
  </cols>
  <sheetData>
    <row r="1" spans="2:7" x14ac:dyDescent="0.25">
      <c r="B1" t="s">
        <v>90</v>
      </c>
    </row>
    <row r="3" spans="2:7" x14ac:dyDescent="0.25">
      <c r="B3" s="16" t="s">
        <v>99</v>
      </c>
      <c r="C3" s="16" t="s">
        <v>65</v>
      </c>
      <c r="D3" s="16" t="s">
        <v>86</v>
      </c>
      <c r="E3" s="16" t="s">
        <v>87</v>
      </c>
      <c r="F3" s="16" t="s">
        <v>88</v>
      </c>
      <c r="G3" s="16" t="s">
        <v>89</v>
      </c>
    </row>
    <row r="4" spans="2:7" x14ac:dyDescent="0.25">
      <c r="B4" s="18" t="s">
        <v>55</v>
      </c>
      <c r="C4" s="19">
        <v>70</v>
      </c>
      <c r="D4" s="20">
        <v>46</v>
      </c>
      <c r="E4" s="19">
        <v>24</v>
      </c>
      <c r="F4" s="21">
        <f>Table3[Completed courses]/Table3[Courses taken]</f>
        <v>0.65714285714285714</v>
      </c>
      <c r="G4" s="21">
        <f>Table3[Pending courses]/Table3[Courses taken]</f>
        <v>0.34285714285714286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Enquiry Analysis of employee-mo</vt:lpstr>
      <vt:lpstr>Office total enquiry evaluation</vt:lpstr>
      <vt:lpstr>% work completed by emply's-mth</vt:lpstr>
      <vt:lpstr>Office overall % of work comple</vt:lpstr>
      <vt:lpstr>Emply's overview of work status</vt:lpstr>
      <vt:lpstr>Office work Status-monthly</vt:lpstr>
      <vt:lpstr>Empl's leave analysis-mthly</vt:lpstr>
      <vt:lpstr>Office leave analysis-mthly</vt:lpstr>
      <vt:lpstr>Emply's course status analysis</vt:lpstr>
      <vt:lpstr>Office overall course 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2019-07-09T09:59:44Z</dcterms:created>
  <dcterms:modified xsi:type="dcterms:W3CDTF">2019-07-19T11:48:12Z</dcterms:modified>
</cp:coreProperties>
</file>