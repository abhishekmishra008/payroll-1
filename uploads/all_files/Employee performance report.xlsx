
<file path=[Content_Types].xml><?xml version="1.0" encoding="utf-8"?>
<Types xmlns="http://schemas.openxmlformats.org/package/2006/content-types"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tables/table16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tables/table14.xml" ContentType="application/vnd.openxmlformats-officedocument.spreadsheetml.table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tables/table19.xml" ContentType="application/vnd.openxmlformats-officedocument.spreadsheetml.table+xml"/>
  <Override PartName="/xl/charts/chart15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12.xml" ContentType="application/vnd.openxmlformats-officedocument.drawingml.chart+xml"/>
  <Override PartName="/docProps/core.xml" ContentType="application/vnd.openxmlformats-package.core-properties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ables/table15.xml" ContentType="application/vnd.openxmlformats-officedocument.spreadsheetml.table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tables/table13.xml" ContentType="application/vnd.openxmlformats-officedocument.spreadsheetml.table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345" windowWidth="19875" windowHeight="7725" firstSheet="5" activeTab="7"/>
  </bookViews>
  <sheets>
    <sheet name="Overview of employee performanc" sheetId="1" r:id="rId1"/>
    <sheet name="Employee 3 month enquiry detail" sheetId="3" r:id="rId2"/>
    <sheet name="Service wise quarterly detail" sheetId="7" r:id="rId3"/>
    <sheet name="Employee due-date task report" sheetId="4" r:id="rId4"/>
    <sheet name="Employee due-date task bifurcat" sheetId="5" r:id="rId5"/>
    <sheet name="Employee project ass. task" sheetId="8" r:id="rId6"/>
    <sheet name="Project ass. task bifurcation" sheetId="9" r:id="rId7"/>
    <sheet name="Employee Leave Detail" sheetId="6" r:id="rId8"/>
  </sheets>
  <calcPr calcId="144525"/>
</workbook>
</file>

<file path=xl/calcChain.xml><?xml version="1.0" encoding="utf-8"?>
<calcChain xmlns="http://schemas.openxmlformats.org/spreadsheetml/2006/main">
  <c r="F13" i="3"/>
  <c r="F12"/>
  <c r="F11"/>
  <c r="G48" i="9"/>
  <c r="F48"/>
  <c r="H48" s="1"/>
  <c r="G47"/>
  <c r="F47"/>
  <c r="H47" s="1"/>
  <c r="H46"/>
  <c r="G46"/>
  <c r="F46"/>
  <c r="G27"/>
  <c r="F27"/>
  <c r="H27" s="1"/>
  <c r="G26"/>
  <c r="F26"/>
  <c r="H26" s="1"/>
  <c r="H25"/>
  <c r="G25"/>
  <c r="F25"/>
  <c r="H6"/>
  <c r="G6"/>
  <c r="F6"/>
  <c r="G5"/>
  <c r="F5"/>
  <c r="H5" s="1"/>
  <c r="G4"/>
  <c r="F4"/>
  <c r="H4" s="1"/>
  <c r="AB12" i="8"/>
  <c r="AA5"/>
  <c r="AA6"/>
  <c r="AA7"/>
  <c r="AA8"/>
  <c r="AA9"/>
  <c r="AA10"/>
  <c r="AA11"/>
  <c r="AA12"/>
  <c r="AA13"/>
  <c r="Z5"/>
  <c r="AB5" s="1"/>
  <c r="Z6"/>
  <c r="AB6" s="1"/>
  <c r="Z7"/>
  <c r="AB7" s="1"/>
  <c r="Z8"/>
  <c r="AB8" s="1"/>
  <c r="Z9"/>
  <c r="AB9" s="1"/>
  <c r="Z10"/>
  <c r="AB10" s="1"/>
  <c r="Z11"/>
  <c r="AB11" s="1"/>
  <c r="Z12"/>
  <c r="Z13"/>
  <c r="AB13" s="1"/>
  <c r="F13" i="7" l="1"/>
  <c r="F18"/>
  <c r="F17"/>
  <c r="F16"/>
  <c r="F19" s="1"/>
  <c r="F12"/>
  <c r="F11"/>
  <c r="F10"/>
  <c r="F6"/>
  <c r="F5"/>
  <c r="F7" s="1"/>
  <c r="F4"/>
  <c r="E6" i="5" l="1"/>
  <c r="G6" s="1"/>
  <c r="D22" i="6"/>
  <c r="C24"/>
  <c r="D21" s="1"/>
  <c r="D17"/>
  <c r="E6" s="1"/>
  <c r="E13" l="1"/>
  <c r="E9"/>
  <c r="E5"/>
  <c r="E16"/>
  <c r="E12"/>
  <c r="E8"/>
  <c r="E15"/>
  <c r="E11"/>
  <c r="E7"/>
  <c r="D20"/>
  <c r="E14"/>
  <c r="E10"/>
  <c r="G5" i="5" l="1"/>
  <c r="G7"/>
  <c r="F5"/>
  <c r="F6"/>
  <c r="F7"/>
  <c r="F22" i="3" l="1"/>
  <c r="F20"/>
  <c r="F19"/>
  <c r="F17"/>
  <c r="F10"/>
  <c r="F15"/>
  <c r="F16"/>
  <c r="F18"/>
  <c r="F21"/>
  <c r="F14"/>
  <c r="G27" i="5" l="1"/>
  <c r="F27"/>
  <c r="G26"/>
  <c r="F26"/>
  <c r="G25"/>
  <c r="F25"/>
  <c r="E5"/>
  <c r="G11" i="4"/>
  <c r="G10"/>
  <c r="F11"/>
  <c r="F10"/>
  <c r="F9"/>
  <c r="F8"/>
  <c r="E9"/>
  <c r="G9" s="1"/>
  <c r="E8"/>
  <c r="G8" s="1"/>
  <c r="F6"/>
  <c r="F7"/>
  <c r="E7"/>
  <c r="G7" s="1"/>
  <c r="E6"/>
  <c r="G6" s="1"/>
  <c r="L10" i="3"/>
  <c r="L11"/>
  <c r="L12"/>
  <c r="L13"/>
  <c r="L14"/>
  <c r="L15"/>
  <c r="L16"/>
  <c r="L17"/>
  <c r="L18"/>
  <c r="F32"/>
  <c r="F42"/>
  <c r="F43"/>
  <c r="F44"/>
  <c r="F45"/>
  <c r="F46"/>
  <c r="F47"/>
  <c r="F48"/>
  <c r="F49"/>
  <c r="F50"/>
  <c r="F51"/>
  <c r="F52"/>
  <c r="F53"/>
  <c r="F54"/>
  <c r="F26"/>
  <c r="F27"/>
  <c r="F28"/>
  <c r="F29"/>
  <c r="F30"/>
  <c r="F31"/>
  <c r="F33"/>
  <c r="F34"/>
  <c r="F35"/>
  <c r="F36"/>
  <c r="F37"/>
  <c r="F38"/>
  <c r="F6"/>
  <c r="E6"/>
  <c r="F5"/>
  <c r="E5"/>
  <c r="F10" i="1" l="1"/>
  <c r="E10"/>
  <c r="G51"/>
  <c r="G52"/>
  <c r="G53"/>
  <c r="G33"/>
  <c r="G32"/>
  <c r="G31"/>
  <c r="F53"/>
  <c r="F52"/>
  <c r="F33"/>
  <c r="F32"/>
  <c r="F9"/>
  <c r="E9"/>
</calcChain>
</file>

<file path=xl/sharedStrings.xml><?xml version="1.0" encoding="utf-8"?>
<sst xmlns="http://schemas.openxmlformats.org/spreadsheetml/2006/main" count="289" uniqueCount="71">
  <si>
    <t>Employee Report</t>
  </si>
  <si>
    <t>Employee performance report</t>
  </si>
  <si>
    <t>A</t>
  </si>
  <si>
    <t>Enquiry received</t>
  </si>
  <si>
    <t>Difference</t>
  </si>
  <si>
    <t>Win rate</t>
  </si>
  <si>
    <t>Enquiry converted</t>
  </si>
  <si>
    <t>Month</t>
  </si>
  <si>
    <t>April</t>
  </si>
  <si>
    <t>May</t>
  </si>
  <si>
    <t>June</t>
  </si>
  <si>
    <t>Sales Report (Quarterly report)</t>
  </si>
  <si>
    <t>B</t>
  </si>
  <si>
    <t>Execution Report (Quarterly)</t>
  </si>
  <si>
    <t>Employee-A</t>
  </si>
  <si>
    <t>Due-date tasks alloted</t>
  </si>
  <si>
    <t>Completed Due-date tasks</t>
  </si>
  <si>
    <t>Remaining</t>
  </si>
  <si>
    <t>% of work completed</t>
  </si>
  <si>
    <t>Project Assignment Alloted</t>
  </si>
  <si>
    <t>Completed Project Assignments</t>
  </si>
  <si>
    <t>% of work remaining</t>
  </si>
  <si>
    <t>Offerings</t>
  </si>
  <si>
    <t>IT</t>
  </si>
  <si>
    <t>Software Development</t>
  </si>
  <si>
    <t>Networking</t>
  </si>
  <si>
    <t>Hardware configuration</t>
  </si>
  <si>
    <t>Email configuration</t>
  </si>
  <si>
    <t>Enquiry Converted</t>
  </si>
  <si>
    <t>Accounting</t>
  </si>
  <si>
    <t>GST Return</t>
  </si>
  <si>
    <t>IT Return</t>
  </si>
  <si>
    <t>Audit</t>
  </si>
  <si>
    <t>Company ROC</t>
  </si>
  <si>
    <t>TDS Return</t>
  </si>
  <si>
    <t>Social media marketing</t>
  </si>
  <si>
    <t>Facebook Marketing</t>
  </si>
  <si>
    <t>Insta Marketing</t>
  </si>
  <si>
    <t>Youtube Marketing</t>
  </si>
  <si>
    <t>SEO Marketing</t>
  </si>
  <si>
    <t>Win Rate</t>
  </si>
  <si>
    <t>Avg</t>
  </si>
  <si>
    <t>Service</t>
  </si>
  <si>
    <t>Due-date task</t>
  </si>
  <si>
    <t>Income-tax Return</t>
  </si>
  <si>
    <t>GST</t>
  </si>
  <si>
    <t>Income-tax Return task alloted</t>
  </si>
  <si>
    <t>Income-tax Return task completed</t>
  </si>
  <si>
    <t>GST task alloted</t>
  </si>
  <si>
    <t>completed</t>
  </si>
  <si>
    <t>This is a quarterly report of an individual employee that will show what is the win rate of successful conversion of enquiries by that employee.</t>
  </si>
  <si>
    <t>Casual Leave</t>
  </si>
  <si>
    <t>Sick Leave</t>
  </si>
  <si>
    <t>Parental Leave</t>
  </si>
  <si>
    <t>Compensatory off</t>
  </si>
  <si>
    <t>Leave Type</t>
  </si>
  <si>
    <t>No. of leave taken</t>
  </si>
  <si>
    <t>Ratio of no. of leave taken to total leave</t>
  </si>
  <si>
    <t>total</t>
  </si>
  <si>
    <t>Employee-1 - Leave Details</t>
  </si>
  <si>
    <t>These two are quarterly reports showing the performance of an employee w.r.to. The work completed by him/her.</t>
  </si>
  <si>
    <t>Emplyee quarterly enquiry details</t>
  </si>
  <si>
    <t>Service wise quarterly detail</t>
  </si>
  <si>
    <t>Employee Due-date task bifurcation</t>
  </si>
  <si>
    <t>Employee project assignment tasks</t>
  </si>
  <si>
    <t>Analyzing accounting records</t>
  </si>
  <si>
    <t>Computing taxes</t>
  </si>
  <si>
    <t>Develop Budgets</t>
  </si>
  <si>
    <t>Project assignement task</t>
  </si>
  <si>
    <t>Allotted</t>
  </si>
  <si>
    <t>Project assignement task bifurcation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</si>
</sst>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theme="4" tint="0.79998168889431442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3" borderId="1" xfId="0" applyFont="1" applyFill="1" applyBorder="1" applyAlignment="1">
      <alignment wrapText="1"/>
    </xf>
    <xf numFmtId="0" fontId="0" fillId="3" borderId="2" xfId="0" applyFont="1" applyFill="1" applyBorder="1"/>
    <xf numFmtId="9" fontId="0" fillId="3" borderId="3" xfId="1" applyNumberFormat="1" applyFont="1" applyFill="1" applyBorder="1"/>
    <xf numFmtId="9" fontId="0" fillId="0" borderId="0" xfId="0" applyNumberFormat="1"/>
    <xf numFmtId="0" fontId="0" fillId="3" borderId="1" xfId="0" applyFont="1" applyFill="1" applyBorder="1"/>
    <xf numFmtId="9" fontId="0" fillId="0" borderId="0" xfId="1" applyFont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3" borderId="2" xfId="0" applyFont="1" applyFill="1" applyBorder="1" applyAlignment="1">
      <alignment wrapText="1"/>
    </xf>
    <xf numFmtId="9" fontId="0" fillId="3" borderId="2" xfId="1" applyNumberFormat="1" applyFont="1" applyFill="1" applyBorder="1" applyAlignment="1">
      <alignment wrapText="1"/>
    </xf>
    <xf numFmtId="0" fontId="0" fillId="3" borderId="2" xfId="0" applyNumberFormat="1" applyFont="1" applyFill="1" applyBorder="1" applyAlignment="1">
      <alignment wrapText="1"/>
    </xf>
    <xf numFmtId="9" fontId="0" fillId="3" borderId="3" xfId="1" applyNumberFormat="1" applyFont="1" applyFill="1" applyBorder="1" applyAlignment="1">
      <alignment wrapText="1"/>
    </xf>
    <xf numFmtId="0" fontId="0" fillId="3" borderId="0" xfId="0" applyFont="1" applyFill="1" applyBorder="1" applyAlignment="1">
      <alignment wrapText="1"/>
    </xf>
    <xf numFmtId="9" fontId="0" fillId="3" borderId="0" xfId="1" applyNumberFormat="1" applyFont="1" applyFill="1" applyBorder="1" applyAlignment="1">
      <alignment wrapText="1"/>
    </xf>
    <xf numFmtId="0" fontId="0" fillId="3" borderId="0" xfId="0" applyNumberFormat="1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9" fontId="0" fillId="4" borderId="0" xfId="1" applyFont="1" applyFill="1"/>
    <xf numFmtId="0" fontId="0" fillId="0" borderId="0" xfId="0" applyFont="1" applyFill="1" applyBorder="1" applyAlignment="1">
      <alignment wrapText="1"/>
    </xf>
    <xf numFmtId="9" fontId="0" fillId="0" borderId="0" xfId="1" applyNumberFormat="1" applyFont="1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9" fontId="3" fillId="3" borderId="2" xfId="1" applyNumberFormat="1" applyFont="1" applyFill="1" applyBorder="1" applyAlignment="1">
      <alignment wrapText="1"/>
    </xf>
    <xf numFmtId="9" fontId="3" fillId="3" borderId="0" xfId="1" applyNumberFormat="1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9" fontId="0" fillId="3" borderId="2" xfId="1" applyNumberFormat="1" applyFont="1" applyFill="1" applyBorder="1"/>
    <xf numFmtId="0" fontId="0" fillId="0" borderId="2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9" fontId="0" fillId="0" borderId="3" xfId="1" applyNumberFormat="1" applyFont="1" applyBorder="1"/>
    <xf numFmtId="0" fontId="0" fillId="3" borderId="0" xfId="0" applyFont="1" applyFill="1" applyBorder="1"/>
    <xf numFmtId="9" fontId="0" fillId="0" borderId="2" xfId="1" applyNumberFormat="1" applyFont="1" applyBorder="1"/>
    <xf numFmtId="0" fontId="2" fillId="2" borderId="0" xfId="0" applyFont="1" applyFill="1" applyBorder="1"/>
    <xf numFmtId="0" fontId="0" fillId="6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3" fillId="3" borderId="0" xfId="0" applyFont="1" applyFill="1" applyAlignment="1">
      <alignment wrapText="1"/>
    </xf>
    <xf numFmtId="9" fontId="0" fillId="0" borderId="0" xfId="1" applyNumberFormat="1" applyFont="1"/>
    <xf numFmtId="0" fontId="2" fillId="2" borderId="7" xfId="0" applyFont="1" applyFill="1" applyBorder="1"/>
    <xf numFmtId="0" fontId="4" fillId="2" borderId="0" xfId="0" applyFont="1" applyFill="1"/>
    <xf numFmtId="0" fontId="0" fillId="7" borderId="0" xfId="0" applyFont="1" applyFill="1" applyBorder="1"/>
    <xf numFmtId="0" fontId="0" fillId="8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5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relativeIndent="255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relativeIndent="255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relativeIndent="255" justifyLastLine="0" shrinkToFit="0" readingOrder="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relativeIndent="255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relativeIndent="255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relativeIndent="255" justifyLastLine="0" shrinkToFit="0" readingOrder="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 Due-date task performance - Quarterly</a:t>
            </a:r>
          </a:p>
        </c:rich>
      </c:tx>
      <c:layout>
        <c:manualLayout>
          <c:xMode val="edge"/>
          <c:yMode val="edge"/>
          <c:x val="0.13976741279433097"/>
          <c:y val="3.7037037037037042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'Overview of employee performanc'!$C$30</c:f>
              <c:strCache>
                <c:ptCount val="1"/>
                <c:pt idx="0">
                  <c:v>Due-date tasks alloted</c:v>
                </c:pt>
              </c:strCache>
            </c:strRef>
          </c:tx>
          <c:dLbls>
            <c:dLbl>
              <c:idx val="0"/>
              <c:layout>
                <c:manualLayout>
                  <c:x val="-4.4296788482834993E-3"/>
                  <c:y val="0.125"/>
                </c:manualLayout>
              </c:layout>
              <c:showVal val="1"/>
            </c:dLbl>
            <c:dLbl>
              <c:idx val="1"/>
              <c:layout>
                <c:manualLayout>
                  <c:x val="1.4765596160944998E-3"/>
                  <c:y val="0.13425925925925922"/>
                </c:manualLayout>
              </c:layout>
              <c:showVal val="1"/>
            </c:dLbl>
            <c:showVal val="1"/>
          </c:dLbls>
          <c:cat>
            <c:strRef>
              <c:f>'Overview of employee performanc'!$B$31:$B$33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'Overview of employee performanc'!$C$31:$C$33</c:f>
              <c:numCache>
                <c:formatCode>General</c:formatCode>
                <c:ptCount val="3"/>
                <c:pt idx="0">
                  <c:v>29</c:v>
                </c:pt>
                <c:pt idx="1">
                  <c:v>30</c:v>
                </c:pt>
                <c:pt idx="2">
                  <c:v>40</c:v>
                </c:pt>
              </c:numCache>
            </c:numRef>
          </c:val>
        </c:ser>
        <c:ser>
          <c:idx val="1"/>
          <c:order val="1"/>
          <c:tx>
            <c:strRef>
              <c:f>'Overview of employee performanc'!$D$30</c:f>
              <c:strCache>
                <c:ptCount val="1"/>
                <c:pt idx="0">
                  <c:v>Completed Due-date tasks</c:v>
                </c:pt>
              </c:strCache>
            </c:strRef>
          </c:tx>
          <c:dLbls>
            <c:dLbl>
              <c:idx val="0"/>
              <c:layout>
                <c:manualLayout>
                  <c:x val="0"/>
                  <c:y val="8.3333333333333343E-2"/>
                </c:manualLayout>
              </c:layout>
              <c:showVal val="1"/>
            </c:dLbl>
            <c:dLbl>
              <c:idx val="1"/>
              <c:layout>
                <c:manualLayout>
                  <c:x val="4.4296788482834993E-3"/>
                  <c:y val="8.3333333333333343E-2"/>
                </c:manualLayout>
              </c:layout>
              <c:showVal val="1"/>
            </c:dLbl>
            <c:dLbl>
              <c:idx val="2"/>
              <c:layout>
                <c:manualLayout>
                  <c:x val="0"/>
                  <c:y val="0.10185185185185186"/>
                </c:manualLayout>
              </c:layout>
              <c:showVal val="1"/>
            </c:dLbl>
            <c:showVal val="1"/>
          </c:dLbls>
          <c:cat>
            <c:strRef>
              <c:f>'Overview of employee performanc'!$B$31:$B$33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'Overview of employee performanc'!$D$31:$D$33</c:f>
              <c:numCache>
                <c:formatCode>General</c:formatCode>
                <c:ptCount val="3"/>
                <c:pt idx="0">
                  <c:v>4</c:v>
                </c:pt>
                <c:pt idx="1">
                  <c:v>10</c:v>
                </c:pt>
                <c:pt idx="2">
                  <c:v>20</c:v>
                </c:pt>
              </c:numCache>
            </c:numRef>
          </c:val>
        </c:ser>
        <c:ser>
          <c:idx val="2"/>
          <c:order val="2"/>
          <c:tx>
            <c:strRef>
              <c:f>'Overview of employee performanc'!$E$30</c:f>
              <c:strCache>
                <c:ptCount val="1"/>
                <c:pt idx="0">
                  <c:v>Remaining</c:v>
                </c:pt>
              </c:strCache>
            </c:strRef>
          </c:tx>
          <c:dLbls>
            <c:dLbl>
              <c:idx val="0"/>
              <c:layout>
                <c:manualLayout>
                  <c:x val="-2.7069946914062471E-17"/>
                  <c:y val="0.125"/>
                </c:manualLayout>
              </c:layout>
              <c:showVal val="1"/>
            </c:dLbl>
            <c:dLbl>
              <c:idx val="1"/>
              <c:layout>
                <c:manualLayout>
                  <c:x val="1.4765596160944998E-3"/>
                  <c:y val="0.1944444444444445"/>
                </c:manualLayout>
              </c:layout>
              <c:showVal val="1"/>
            </c:dLbl>
            <c:dLbl>
              <c:idx val="2"/>
              <c:layout>
                <c:manualLayout>
                  <c:x val="0"/>
                  <c:y val="0.10648148148148151"/>
                </c:manualLayout>
              </c:layout>
              <c:showVal val="1"/>
            </c:dLbl>
            <c:showVal val="1"/>
          </c:dLbls>
          <c:cat>
            <c:strRef>
              <c:f>'Overview of employee performanc'!$B$31:$B$33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'Overview of employee performanc'!$E$31:$E$33</c:f>
              <c:numCache>
                <c:formatCode>General</c:formatCode>
                <c:ptCount val="3"/>
                <c:pt idx="0">
                  <c:v>25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</c:ser>
        <c:dLbls/>
        <c:axId val="109959040"/>
        <c:axId val="109960576"/>
      </c:barChart>
      <c:lineChart>
        <c:grouping val="standard"/>
        <c:ser>
          <c:idx val="3"/>
          <c:order val="3"/>
          <c:tx>
            <c:strRef>
              <c:f>'Overview of employee performanc'!$F$30</c:f>
              <c:strCache>
                <c:ptCount val="1"/>
                <c:pt idx="0">
                  <c:v>% of work completed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-1.4765596160944998E-2"/>
                  <c:y val="-4.1666666666666574E-2"/>
                </c:manualLayout>
              </c:layout>
              <c:showVal val="1"/>
            </c:dLbl>
            <c:dLbl>
              <c:idx val="1"/>
              <c:layout>
                <c:manualLayout>
                  <c:x val="-1.7718715393134001E-2"/>
                  <c:y val="-4.6296296296296301E-2"/>
                </c:manualLayout>
              </c:layout>
              <c:showVal val="1"/>
            </c:dLbl>
            <c:showVal val="1"/>
          </c:dLbls>
          <c:cat>
            <c:strRef>
              <c:f>'Overview of employee performanc'!$B$31:$B$33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'Overview of employee performanc'!$F$31:$F$33</c:f>
              <c:numCache>
                <c:formatCode>0%</c:formatCode>
                <c:ptCount val="3"/>
                <c:pt idx="0">
                  <c:v>0.13793103448275862</c:v>
                </c:pt>
                <c:pt idx="1">
                  <c:v>0.33333333333333331</c:v>
                </c:pt>
                <c:pt idx="2">
                  <c:v>0.5</c:v>
                </c:pt>
              </c:numCache>
            </c:numRef>
          </c:val>
        </c:ser>
        <c:ser>
          <c:idx val="4"/>
          <c:order val="4"/>
          <c:tx>
            <c:strRef>
              <c:f>'Overview of employee performanc'!$G$30</c:f>
              <c:strCache>
                <c:ptCount val="1"/>
                <c:pt idx="0">
                  <c:v>% of work remaining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4.4296788482834993E-3"/>
                  <c:y val="-4.1666666666666664E-2"/>
                </c:manualLayout>
              </c:layout>
              <c:showVal val="1"/>
            </c:dLbl>
            <c:dLbl>
              <c:idx val="1"/>
              <c:layout>
                <c:manualLayout>
                  <c:x val="0"/>
                  <c:y val="-2.777777777777779E-2"/>
                </c:manualLayout>
              </c:layout>
              <c:showVal val="1"/>
            </c:dLbl>
            <c:showVal val="1"/>
          </c:dLbls>
          <c:cat>
            <c:strRef>
              <c:f>'Overview of employee performanc'!$B$31:$B$33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'Overview of employee performanc'!$G$31:$G$33</c:f>
              <c:numCache>
                <c:formatCode>0%</c:formatCode>
                <c:ptCount val="3"/>
                <c:pt idx="0">
                  <c:v>0.86206896551724133</c:v>
                </c:pt>
                <c:pt idx="1">
                  <c:v>0.66666666666666663</c:v>
                </c:pt>
                <c:pt idx="2">
                  <c:v>0.5</c:v>
                </c:pt>
              </c:numCache>
            </c:numRef>
          </c:val>
        </c:ser>
        <c:dLbls/>
        <c:marker val="1"/>
        <c:axId val="109849984"/>
        <c:axId val="109848064"/>
      </c:lineChart>
      <c:catAx>
        <c:axId val="109959040"/>
        <c:scaling>
          <c:orientation val="minMax"/>
        </c:scaling>
        <c:axPos val="b"/>
        <c:tickLblPos val="nextTo"/>
        <c:crossAx val="109960576"/>
        <c:crosses val="autoZero"/>
        <c:auto val="1"/>
        <c:lblAlgn val="ctr"/>
        <c:lblOffset val="100"/>
      </c:catAx>
      <c:valAx>
        <c:axId val="1099605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Due-date</a:t>
                </a:r>
                <a:r>
                  <a:rPr lang="en-US" baseline="0"/>
                  <a:t> tasks 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09959040"/>
        <c:crosses val="autoZero"/>
        <c:crossBetween val="between"/>
      </c:valAx>
      <c:valAx>
        <c:axId val="10984806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of work completed and remaining</a:t>
                </a:r>
              </a:p>
            </c:rich>
          </c:tx>
          <c:layout/>
        </c:title>
        <c:numFmt formatCode="0%" sourceLinked="1"/>
        <c:tickLblPos val="nextTo"/>
        <c:crossAx val="109849984"/>
        <c:crosses val="max"/>
        <c:crossBetween val="between"/>
      </c:valAx>
      <c:catAx>
        <c:axId val="109849984"/>
        <c:scaling>
          <c:orientation val="minMax"/>
        </c:scaling>
        <c:delete val="1"/>
        <c:axPos val="b"/>
        <c:tickLblPos val="nextTo"/>
        <c:crossAx val="109848064"/>
        <c:crosses val="autoZero"/>
        <c:auto val="1"/>
        <c:lblAlgn val="ctr"/>
        <c:lblOffset val="100"/>
      </c:cat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Emploee project-assignment task performance</a:t>
            </a:r>
            <a:r>
              <a:rPr lang="en-US" baseline="0"/>
              <a:t> - Quarterly</a:t>
            </a:r>
            <a:endParaRPr lang="en-US"/>
          </a:p>
        </c:rich>
      </c:tx>
      <c:layout>
        <c:manualLayout>
          <c:xMode val="edge"/>
          <c:yMode val="edge"/>
          <c:x val="6.648285281870088E-2"/>
          <c:y val="2.777777777777779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'Overview of employee performanc'!$C$50</c:f>
              <c:strCache>
                <c:ptCount val="1"/>
                <c:pt idx="0">
                  <c:v>Project Assignment Alloted</c:v>
                </c:pt>
              </c:strCache>
            </c:strRef>
          </c:tx>
          <c:dLbls>
            <c:dLbl>
              <c:idx val="0"/>
              <c:layout>
                <c:manualLayout>
                  <c:x val="0"/>
                  <c:y val="0.13425925925925936"/>
                </c:manualLayout>
              </c:layout>
              <c:showVal val="1"/>
            </c:dLbl>
            <c:dLbl>
              <c:idx val="1"/>
              <c:layout>
                <c:manualLayout>
                  <c:x val="2.940095553105477E-3"/>
                  <c:y val="0.2592592592592593"/>
                </c:manualLayout>
              </c:layout>
              <c:showVal val="1"/>
            </c:dLbl>
            <c:dLbl>
              <c:idx val="2"/>
              <c:layout>
                <c:manualLayout>
                  <c:x val="1.4700477765527385E-3"/>
                  <c:y val="0.1111111111111111"/>
                </c:manualLayout>
              </c:layout>
              <c:showVal val="1"/>
            </c:dLbl>
            <c:showVal val="1"/>
          </c:dLbls>
          <c:cat>
            <c:strRef>
              <c:f>'Overview of employee performanc'!$B$51:$B$53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'Overview of employee performanc'!$C$51:$C$53</c:f>
              <c:numCache>
                <c:formatCode>General</c:formatCode>
                <c:ptCount val="3"/>
                <c:pt idx="0">
                  <c:v>11</c:v>
                </c:pt>
                <c:pt idx="1">
                  <c:v>15</c:v>
                </c:pt>
                <c:pt idx="2">
                  <c:v>25</c:v>
                </c:pt>
              </c:numCache>
            </c:numRef>
          </c:val>
        </c:ser>
        <c:ser>
          <c:idx val="1"/>
          <c:order val="1"/>
          <c:tx>
            <c:strRef>
              <c:f>'Overview of employee performanc'!$D$50</c:f>
              <c:strCache>
                <c:ptCount val="1"/>
                <c:pt idx="0">
                  <c:v>Completed Project Assignments</c:v>
                </c:pt>
              </c:strCache>
            </c:strRef>
          </c:tx>
          <c:dLbls>
            <c:dLbl>
              <c:idx val="0"/>
              <c:layout>
                <c:manualLayout>
                  <c:x val="0"/>
                  <c:y val="0.11574074074074076"/>
                </c:manualLayout>
              </c:layout>
              <c:showVal val="1"/>
            </c:dLbl>
            <c:dLbl>
              <c:idx val="1"/>
              <c:layout>
                <c:manualLayout>
                  <c:x val="2.940095553105477E-3"/>
                  <c:y val="0.12499999999999992"/>
                </c:manualLayout>
              </c:layout>
              <c:showVal val="1"/>
            </c:dLbl>
            <c:dLbl>
              <c:idx val="2"/>
              <c:layout>
                <c:manualLayout>
                  <c:x val="2.940095553105477E-3"/>
                  <c:y val="0.11574074074074071"/>
                </c:manualLayout>
              </c:layout>
              <c:showVal val="1"/>
            </c:dLbl>
            <c:showVal val="1"/>
          </c:dLbls>
          <c:cat>
            <c:strRef>
              <c:f>'Overview of employee performanc'!$B$51:$B$53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'Overview of employee performanc'!$D$51:$D$53</c:f>
              <c:numCache>
                <c:formatCode>General</c:formatCode>
                <c:ptCount val="3"/>
                <c:pt idx="0">
                  <c:v>6</c:v>
                </c:pt>
                <c:pt idx="1">
                  <c:v>10</c:v>
                </c:pt>
                <c:pt idx="2">
                  <c:v>20</c:v>
                </c:pt>
              </c:numCache>
            </c:numRef>
          </c:val>
        </c:ser>
        <c:ser>
          <c:idx val="2"/>
          <c:order val="2"/>
          <c:tx>
            <c:strRef>
              <c:f>'Overview of employee performanc'!$E$50</c:f>
              <c:strCache>
                <c:ptCount val="1"/>
                <c:pt idx="0">
                  <c:v>Remaining</c:v>
                </c:pt>
              </c:strCache>
            </c:strRef>
          </c:tx>
          <c:dLbls>
            <c:dLbl>
              <c:idx val="0"/>
              <c:layout>
                <c:manualLayout>
                  <c:x val="1.4700477765527385E-3"/>
                  <c:y val="9.7222222222222224E-2"/>
                </c:manualLayout>
              </c:layout>
              <c:showVal val="1"/>
            </c:dLbl>
            <c:dLbl>
              <c:idx val="1"/>
              <c:layout>
                <c:manualLayout>
                  <c:x val="0"/>
                  <c:y val="0.12037037037037036"/>
                </c:manualLayout>
              </c:layout>
              <c:showVal val="1"/>
            </c:dLbl>
            <c:dLbl>
              <c:idx val="2"/>
              <c:layout>
                <c:manualLayout>
                  <c:x val="0"/>
                  <c:y val="9.7222222222222224E-2"/>
                </c:manualLayout>
              </c:layout>
              <c:showVal val="1"/>
            </c:dLbl>
            <c:showVal val="1"/>
          </c:dLbls>
          <c:cat>
            <c:strRef>
              <c:f>'Overview of employee performanc'!$B$51:$B$53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'Overview of employee performanc'!$E$51:$E$53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</c:ser>
        <c:dLbls/>
        <c:axId val="110061056"/>
        <c:axId val="110062592"/>
      </c:barChart>
      <c:lineChart>
        <c:grouping val="standard"/>
        <c:ser>
          <c:idx val="3"/>
          <c:order val="3"/>
          <c:tx>
            <c:strRef>
              <c:f>'Overview of employee performanc'!$F$50</c:f>
              <c:strCache>
                <c:ptCount val="1"/>
                <c:pt idx="0">
                  <c:v>% of work completed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-1.4700477765527385E-3"/>
                  <c:y val="-6.9444444444444503E-2"/>
                </c:manualLayout>
              </c:layout>
              <c:showVal val="1"/>
            </c:dLbl>
            <c:dLbl>
              <c:idx val="1"/>
              <c:layout>
                <c:manualLayout>
                  <c:x val="0"/>
                  <c:y val="-7.8703703703703734E-2"/>
                </c:manualLayout>
              </c:layout>
              <c:showVal val="1"/>
            </c:dLbl>
            <c:showVal val="1"/>
          </c:dLbls>
          <c:cat>
            <c:strRef>
              <c:f>'Overview of employee performanc'!$B$51:$B$53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'Overview of employee performanc'!$F$51:$F$53</c:f>
              <c:numCache>
                <c:formatCode>0%</c:formatCode>
                <c:ptCount val="3"/>
                <c:pt idx="0">
                  <c:v>0.54545454545454541</c:v>
                </c:pt>
                <c:pt idx="1">
                  <c:v>0.66666666666666663</c:v>
                </c:pt>
                <c:pt idx="2">
                  <c:v>0.8</c:v>
                </c:pt>
              </c:numCache>
            </c:numRef>
          </c:val>
        </c:ser>
        <c:ser>
          <c:idx val="4"/>
          <c:order val="4"/>
          <c:tx>
            <c:strRef>
              <c:f>'Overview of employee performanc'!$G$50</c:f>
              <c:strCache>
                <c:ptCount val="1"/>
                <c:pt idx="0">
                  <c:v>% of work remaining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-1.7640573318632863E-2"/>
                  <c:y val="5.5555555555555539E-2"/>
                </c:manualLayout>
              </c:layout>
              <c:showVal val="1"/>
            </c:dLbl>
            <c:dLbl>
              <c:idx val="1"/>
              <c:layout>
                <c:manualLayout>
                  <c:x val="0"/>
                  <c:y val="-3.7037037037037042E-2"/>
                </c:manualLayout>
              </c:layout>
              <c:showVal val="1"/>
            </c:dLbl>
            <c:showVal val="1"/>
          </c:dLbls>
          <c:cat>
            <c:strRef>
              <c:f>'Overview of employee performanc'!$B$51:$B$53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'Overview of employee performanc'!$G$51:$G$53</c:f>
              <c:numCache>
                <c:formatCode>0%</c:formatCode>
                <c:ptCount val="3"/>
                <c:pt idx="0">
                  <c:v>0.45454545454545453</c:v>
                </c:pt>
                <c:pt idx="1">
                  <c:v>0.33333333333333331</c:v>
                </c:pt>
                <c:pt idx="2">
                  <c:v>0.2</c:v>
                </c:pt>
              </c:numCache>
            </c:numRef>
          </c:val>
        </c:ser>
        <c:dLbls/>
        <c:marker val="1"/>
        <c:axId val="110091264"/>
        <c:axId val="110089344"/>
      </c:lineChart>
      <c:catAx>
        <c:axId val="110061056"/>
        <c:scaling>
          <c:orientation val="minMax"/>
        </c:scaling>
        <c:axPos val="b"/>
        <c:tickLblPos val="nextTo"/>
        <c:crossAx val="110062592"/>
        <c:crosses val="autoZero"/>
        <c:auto val="1"/>
        <c:lblAlgn val="ctr"/>
        <c:lblOffset val="100"/>
      </c:catAx>
      <c:valAx>
        <c:axId val="11006259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Project</a:t>
                </a:r>
                <a:r>
                  <a:rPr lang="en-US" baseline="0"/>
                  <a:t> assignment tasks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10061056"/>
        <c:crosses val="autoZero"/>
        <c:crossBetween val="between"/>
      </c:valAx>
      <c:valAx>
        <c:axId val="11008934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of work completed and remaining</a:t>
                </a:r>
              </a:p>
            </c:rich>
          </c:tx>
          <c:layout/>
        </c:title>
        <c:numFmt formatCode="0%" sourceLinked="1"/>
        <c:tickLblPos val="nextTo"/>
        <c:crossAx val="110091264"/>
        <c:crosses val="max"/>
        <c:crossBetween val="between"/>
      </c:valAx>
      <c:catAx>
        <c:axId val="110091264"/>
        <c:scaling>
          <c:orientation val="minMax"/>
        </c:scaling>
        <c:delete val="1"/>
        <c:axPos val="b"/>
        <c:tickLblPos val="nextTo"/>
        <c:crossAx val="110089344"/>
        <c:crosses val="autoZero"/>
        <c:auto val="1"/>
        <c:lblAlgn val="ctr"/>
        <c:lblOffset val="100"/>
      </c:cat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'Overview of employee performanc'!$C$7</c:f>
              <c:strCache>
                <c:ptCount val="1"/>
                <c:pt idx="0">
                  <c:v>Enquiry received</c:v>
                </c:pt>
              </c:strCache>
            </c:strRef>
          </c:tx>
          <c:dLbls>
            <c:showVal val="1"/>
          </c:dLbls>
          <c:cat>
            <c:strRef>
              <c:f>'Overview of employee performanc'!$B$8:$B$10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'Overview of employee performanc'!$C$8:$C$10</c:f>
              <c:numCache>
                <c:formatCode>General</c:formatCode>
                <c:ptCount val="3"/>
                <c:pt idx="0">
                  <c:v>50</c:v>
                </c:pt>
                <c:pt idx="1">
                  <c:v>30</c:v>
                </c:pt>
                <c:pt idx="2">
                  <c:v>40</c:v>
                </c:pt>
              </c:numCache>
            </c:numRef>
          </c:val>
        </c:ser>
        <c:ser>
          <c:idx val="1"/>
          <c:order val="1"/>
          <c:tx>
            <c:strRef>
              <c:f>'Overview of employee performanc'!$D$7</c:f>
              <c:strCache>
                <c:ptCount val="1"/>
                <c:pt idx="0">
                  <c:v>Enquiry converted</c:v>
                </c:pt>
              </c:strCache>
            </c:strRef>
          </c:tx>
          <c:dLbls>
            <c:showVal val="1"/>
          </c:dLbls>
          <c:cat>
            <c:strRef>
              <c:f>'Overview of employee performanc'!$B$8:$B$10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'Overview of employee performanc'!$D$8:$D$10</c:f>
              <c:numCache>
                <c:formatCode>General</c:formatCode>
                <c:ptCount val="3"/>
                <c:pt idx="0">
                  <c:v>38</c:v>
                </c:pt>
                <c:pt idx="1">
                  <c:v>20</c:v>
                </c:pt>
                <c:pt idx="2">
                  <c:v>15</c:v>
                </c:pt>
              </c:numCache>
            </c:numRef>
          </c:val>
        </c:ser>
        <c:ser>
          <c:idx val="2"/>
          <c:order val="2"/>
          <c:tx>
            <c:strRef>
              <c:f>'Overview of employee performanc'!$E$7</c:f>
              <c:strCache>
                <c:ptCount val="1"/>
                <c:pt idx="0">
                  <c:v>Difference</c:v>
                </c:pt>
              </c:strCache>
            </c:strRef>
          </c:tx>
          <c:dLbls>
            <c:showVal val="1"/>
          </c:dLbls>
          <c:cat>
            <c:strRef>
              <c:f>'Overview of employee performanc'!$B$8:$B$10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'Overview of employee performanc'!$E$8:$E$10</c:f>
              <c:numCache>
                <c:formatCode>General</c:formatCode>
                <c:ptCount val="3"/>
                <c:pt idx="0">
                  <c:v>12</c:v>
                </c:pt>
                <c:pt idx="1">
                  <c:v>10</c:v>
                </c:pt>
                <c:pt idx="2">
                  <c:v>25</c:v>
                </c:pt>
              </c:numCache>
            </c:numRef>
          </c:val>
        </c:ser>
        <c:dLbls/>
        <c:axId val="110022656"/>
        <c:axId val="110024192"/>
      </c:barChart>
      <c:lineChart>
        <c:grouping val="standard"/>
        <c:ser>
          <c:idx val="3"/>
          <c:order val="3"/>
          <c:tx>
            <c:strRef>
              <c:f>'Overview of employee performanc'!$F$7</c:f>
              <c:strCache>
                <c:ptCount val="1"/>
                <c:pt idx="0">
                  <c:v>Win rate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0"/>
                  <c:y val="-3.2407407407407413E-2"/>
                </c:manualLayout>
              </c:layout>
              <c:showVal val="1"/>
            </c:dLbl>
            <c:dLbl>
              <c:idx val="1"/>
              <c:layout>
                <c:manualLayout>
                  <c:x val="0"/>
                  <c:y val="-1.8518518518518521E-2"/>
                </c:manualLayout>
              </c:layout>
              <c:showVal val="1"/>
            </c:dLbl>
            <c:showVal val="1"/>
          </c:dLbls>
          <c:cat>
            <c:strRef>
              <c:f>'Overview of employee performanc'!$B$8:$B$10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'Overview of employee performanc'!$F$8:$F$10</c:f>
              <c:numCache>
                <c:formatCode>0%</c:formatCode>
                <c:ptCount val="3"/>
                <c:pt idx="0">
                  <c:v>0.76</c:v>
                </c:pt>
                <c:pt idx="1">
                  <c:v>0.66666666666666663</c:v>
                </c:pt>
                <c:pt idx="2">
                  <c:v>0.375</c:v>
                </c:pt>
              </c:numCache>
            </c:numRef>
          </c:val>
        </c:ser>
        <c:dLbls/>
        <c:marker val="1"/>
        <c:axId val="110032384"/>
        <c:axId val="110026112"/>
      </c:lineChart>
      <c:catAx>
        <c:axId val="110022656"/>
        <c:scaling>
          <c:orientation val="minMax"/>
        </c:scaling>
        <c:axPos val="b"/>
        <c:tickLblPos val="nextTo"/>
        <c:crossAx val="110024192"/>
        <c:crosses val="autoZero"/>
        <c:auto val="1"/>
        <c:lblAlgn val="ctr"/>
        <c:lblOffset val="100"/>
      </c:catAx>
      <c:valAx>
        <c:axId val="11002419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Enquiry received and converted</a:t>
                </a:r>
              </a:p>
            </c:rich>
          </c:tx>
          <c:layout/>
        </c:title>
        <c:numFmt formatCode="General" sourceLinked="1"/>
        <c:tickLblPos val="nextTo"/>
        <c:crossAx val="110022656"/>
        <c:crosses val="autoZero"/>
        <c:crossBetween val="between"/>
      </c:valAx>
      <c:valAx>
        <c:axId val="11002611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Win Rate</a:t>
                </a:r>
              </a:p>
            </c:rich>
          </c:tx>
          <c:layout/>
        </c:title>
        <c:numFmt formatCode="0%" sourceLinked="1"/>
        <c:tickLblPos val="nextTo"/>
        <c:crossAx val="110032384"/>
        <c:crosses val="max"/>
        <c:crossBetween val="between"/>
      </c:valAx>
      <c:catAx>
        <c:axId val="110032384"/>
        <c:scaling>
          <c:orientation val="minMax"/>
        </c:scaling>
        <c:delete val="1"/>
        <c:axPos val="b"/>
        <c:tickLblPos val="nextTo"/>
        <c:crossAx val="110026112"/>
        <c:crosses val="autoZero"/>
        <c:auto val="1"/>
        <c:lblAlgn val="ctr"/>
        <c:lblOffset val="100"/>
      </c:cat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'Employee 3 month enquiry detail'!$J$9</c:f>
              <c:strCache>
                <c:ptCount val="1"/>
                <c:pt idx="0">
                  <c:v>Enquiry received</c:v>
                </c:pt>
              </c:strCache>
            </c:strRef>
          </c:tx>
          <c:cat>
            <c:multiLvlStrRef>
              <c:f>'Employee 3 month enquiry detail'!$H$10:$I$18</c:f>
              <c:multiLvlStrCache>
                <c:ptCount val="9"/>
                <c:lvl>
                  <c:pt idx="0">
                    <c:v>IT</c:v>
                  </c:pt>
                  <c:pt idx="1">
                    <c:v>Accounting</c:v>
                  </c:pt>
                  <c:pt idx="2">
                    <c:v>Social media marketing</c:v>
                  </c:pt>
                  <c:pt idx="3">
                    <c:v>IT</c:v>
                  </c:pt>
                  <c:pt idx="4">
                    <c:v>Accounting</c:v>
                  </c:pt>
                  <c:pt idx="5">
                    <c:v>Social media marketing</c:v>
                  </c:pt>
                  <c:pt idx="6">
                    <c:v>IT</c:v>
                  </c:pt>
                  <c:pt idx="7">
                    <c:v>Accounting</c:v>
                  </c:pt>
                  <c:pt idx="8">
                    <c:v>Social media marketing</c:v>
                  </c:pt>
                </c:lvl>
                <c:lvl>
                  <c:pt idx="0">
                    <c:v>April</c:v>
                  </c:pt>
                  <c:pt idx="3">
                    <c:v>May</c:v>
                  </c:pt>
                  <c:pt idx="6">
                    <c:v>June</c:v>
                  </c:pt>
                </c:lvl>
              </c:multiLvlStrCache>
            </c:multiLvlStrRef>
          </c:cat>
          <c:val>
            <c:numRef>
              <c:f>'Employee 3 month enquiry detail'!$J$10:$J$18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20</c:v>
                </c:pt>
                <c:pt idx="3">
                  <c:v>14</c:v>
                </c:pt>
                <c:pt idx="4">
                  <c:v>9</c:v>
                </c:pt>
                <c:pt idx="5">
                  <c:v>7</c:v>
                </c:pt>
                <c:pt idx="6">
                  <c:v>14</c:v>
                </c:pt>
                <c:pt idx="7">
                  <c:v>15</c:v>
                </c:pt>
                <c:pt idx="8">
                  <c:v>11</c:v>
                </c:pt>
              </c:numCache>
            </c:numRef>
          </c:val>
        </c:ser>
        <c:ser>
          <c:idx val="1"/>
          <c:order val="1"/>
          <c:tx>
            <c:strRef>
              <c:f>'Employee 3 month enquiry detail'!$K$9</c:f>
              <c:strCache>
                <c:ptCount val="1"/>
                <c:pt idx="0">
                  <c:v>Enquiry Converted</c:v>
                </c:pt>
              </c:strCache>
            </c:strRef>
          </c:tx>
          <c:cat>
            <c:multiLvlStrRef>
              <c:f>'Employee 3 month enquiry detail'!$H$10:$I$18</c:f>
              <c:multiLvlStrCache>
                <c:ptCount val="9"/>
                <c:lvl>
                  <c:pt idx="0">
                    <c:v>IT</c:v>
                  </c:pt>
                  <c:pt idx="1">
                    <c:v>Accounting</c:v>
                  </c:pt>
                  <c:pt idx="2">
                    <c:v>Social media marketing</c:v>
                  </c:pt>
                  <c:pt idx="3">
                    <c:v>IT</c:v>
                  </c:pt>
                  <c:pt idx="4">
                    <c:v>Accounting</c:v>
                  </c:pt>
                  <c:pt idx="5">
                    <c:v>Social media marketing</c:v>
                  </c:pt>
                  <c:pt idx="6">
                    <c:v>IT</c:v>
                  </c:pt>
                  <c:pt idx="7">
                    <c:v>Accounting</c:v>
                  </c:pt>
                  <c:pt idx="8">
                    <c:v>Social media marketing</c:v>
                  </c:pt>
                </c:lvl>
                <c:lvl>
                  <c:pt idx="0">
                    <c:v>April</c:v>
                  </c:pt>
                  <c:pt idx="3">
                    <c:v>May</c:v>
                  </c:pt>
                  <c:pt idx="6">
                    <c:v>June</c:v>
                  </c:pt>
                </c:lvl>
              </c:multiLvlStrCache>
            </c:multiLvlStrRef>
          </c:cat>
          <c:val>
            <c:numRef>
              <c:f>'Employee 3 month enquiry detail'!$K$10:$K$18</c:f>
              <c:numCache>
                <c:formatCode>General</c:formatCode>
                <c:ptCount val="9"/>
                <c:pt idx="0">
                  <c:v>10</c:v>
                </c:pt>
                <c:pt idx="1">
                  <c:v>18</c:v>
                </c:pt>
                <c:pt idx="2">
                  <c:v>10</c:v>
                </c:pt>
                <c:pt idx="3">
                  <c:v>12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6</c:v>
                </c:pt>
                <c:pt idx="8">
                  <c:v>4</c:v>
                </c:pt>
              </c:numCache>
            </c:numRef>
          </c:val>
        </c:ser>
        <c:dLbls/>
        <c:gapWidth val="75"/>
        <c:overlap val="-25"/>
        <c:axId val="111834624"/>
        <c:axId val="111836160"/>
      </c:barChart>
      <c:lineChart>
        <c:grouping val="standard"/>
        <c:ser>
          <c:idx val="2"/>
          <c:order val="2"/>
          <c:tx>
            <c:strRef>
              <c:f>'Employee 3 month enquiry detail'!$L$9</c:f>
              <c:strCache>
                <c:ptCount val="1"/>
                <c:pt idx="0">
                  <c:v>Win Rate</c:v>
                </c:pt>
              </c:strCache>
            </c:strRef>
          </c:tx>
          <c:marker>
            <c:symbol val="none"/>
          </c:marker>
          <c:cat>
            <c:multiLvlStrRef>
              <c:f>'Employee 3 month enquiry detail'!$H$10:$I$18</c:f>
              <c:multiLvlStrCache>
                <c:ptCount val="9"/>
                <c:lvl>
                  <c:pt idx="0">
                    <c:v>IT</c:v>
                  </c:pt>
                  <c:pt idx="1">
                    <c:v>Accounting</c:v>
                  </c:pt>
                  <c:pt idx="2">
                    <c:v>Social media marketing</c:v>
                  </c:pt>
                  <c:pt idx="3">
                    <c:v>IT</c:v>
                  </c:pt>
                  <c:pt idx="4">
                    <c:v>Accounting</c:v>
                  </c:pt>
                  <c:pt idx="5">
                    <c:v>Social media marketing</c:v>
                  </c:pt>
                  <c:pt idx="6">
                    <c:v>IT</c:v>
                  </c:pt>
                  <c:pt idx="7">
                    <c:v>Accounting</c:v>
                  </c:pt>
                  <c:pt idx="8">
                    <c:v>Social media marketing</c:v>
                  </c:pt>
                </c:lvl>
                <c:lvl>
                  <c:pt idx="0">
                    <c:v>April</c:v>
                  </c:pt>
                  <c:pt idx="3">
                    <c:v>May</c:v>
                  </c:pt>
                  <c:pt idx="6">
                    <c:v>June</c:v>
                  </c:pt>
                </c:lvl>
              </c:multiLvlStrCache>
            </c:multiLvlStrRef>
          </c:cat>
          <c:val>
            <c:numRef>
              <c:f>'Employee 3 month enquiry detail'!$L$10:$L$18</c:f>
              <c:numCache>
                <c:formatCode>0%</c:formatCode>
                <c:ptCount val="9"/>
                <c:pt idx="0">
                  <c:v>1</c:v>
                </c:pt>
                <c:pt idx="1">
                  <c:v>0.9</c:v>
                </c:pt>
                <c:pt idx="2">
                  <c:v>0.5</c:v>
                </c:pt>
                <c:pt idx="3">
                  <c:v>0.8571428571428571</c:v>
                </c:pt>
                <c:pt idx="4">
                  <c:v>0.55555555555555558</c:v>
                </c:pt>
                <c:pt idx="5">
                  <c:v>0.42857142857142855</c:v>
                </c:pt>
                <c:pt idx="6">
                  <c:v>0.35714285714285715</c:v>
                </c:pt>
                <c:pt idx="7">
                  <c:v>0.4</c:v>
                </c:pt>
                <c:pt idx="8">
                  <c:v>0.36363636363636365</c:v>
                </c:pt>
              </c:numCache>
            </c:numRef>
          </c:val>
        </c:ser>
        <c:dLbls/>
        <c:marker val="1"/>
        <c:axId val="111847680"/>
        <c:axId val="111846144"/>
      </c:lineChart>
      <c:catAx>
        <c:axId val="111834624"/>
        <c:scaling>
          <c:orientation val="minMax"/>
        </c:scaling>
        <c:axPos val="b"/>
        <c:majorTickMark val="none"/>
        <c:tickLblPos val="nextTo"/>
        <c:crossAx val="111836160"/>
        <c:crosses val="autoZero"/>
        <c:auto val="1"/>
        <c:lblAlgn val="ctr"/>
        <c:lblOffset val="100"/>
      </c:catAx>
      <c:valAx>
        <c:axId val="11183616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11834624"/>
        <c:crosses val="autoZero"/>
        <c:crossBetween val="between"/>
      </c:valAx>
      <c:valAx>
        <c:axId val="111846144"/>
        <c:scaling>
          <c:orientation val="minMax"/>
        </c:scaling>
        <c:axPos val="r"/>
        <c:numFmt formatCode="0%" sourceLinked="1"/>
        <c:tickLblPos val="nextTo"/>
        <c:crossAx val="111847680"/>
        <c:crosses val="max"/>
        <c:crossBetween val="between"/>
      </c:valAx>
      <c:catAx>
        <c:axId val="111847680"/>
        <c:scaling>
          <c:orientation val="minMax"/>
        </c:scaling>
        <c:delete val="1"/>
        <c:axPos val="b"/>
        <c:tickLblPos val="nextTo"/>
        <c:crossAx val="111846144"/>
        <c:crosses val="autoZero"/>
        <c:auto val="1"/>
        <c:lblAlgn val="ctr"/>
        <c:lblOffset val="100"/>
      </c:catAx>
    </c:plotArea>
    <c:legend>
      <c:legendPos val="b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</a:t>
            </a:r>
            <a:r>
              <a:rPr lang="en-US" baseline="0"/>
              <a:t> enquiry performance of IT Service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'Service wise quarterly detail'!$D$3</c:f>
              <c:strCache>
                <c:ptCount val="1"/>
                <c:pt idx="0">
                  <c:v>Enquiry received</c:v>
                </c:pt>
              </c:strCache>
            </c:strRef>
          </c:tx>
          <c:cat>
            <c:multiLvlStrRef>
              <c:f>'Service wise quarterly detail'!$B$4:$C$6</c:f>
              <c:multiLvlStrCache>
                <c:ptCount val="3"/>
                <c:lvl>
                  <c:pt idx="0">
                    <c:v>IT</c:v>
                  </c:pt>
                  <c:pt idx="1">
                    <c:v>IT</c:v>
                  </c:pt>
                  <c:pt idx="2">
                    <c:v>IT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'Service wise quarterly detail'!$D$4:$D$6</c:f>
              <c:numCache>
                <c:formatCode>General</c:formatCode>
                <c:ptCount val="3"/>
                <c:pt idx="0">
                  <c:v>10</c:v>
                </c:pt>
                <c:pt idx="1">
                  <c:v>14</c:v>
                </c:pt>
                <c:pt idx="2">
                  <c:v>14</c:v>
                </c:pt>
              </c:numCache>
            </c:numRef>
          </c:val>
        </c:ser>
        <c:ser>
          <c:idx val="1"/>
          <c:order val="1"/>
          <c:tx>
            <c:strRef>
              <c:f>'Service wise quarterly detail'!$E$3</c:f>
              <c:strCache>
                <c:ptCount val="1"/>
                <c:pt idx="0">
                  <c:v>Enquiry Converted</c:v>
                </c:pt>
              </c:strCache>
            </c:strRef>
          </c:tx>
          <c:cat>
            <c:multiLvlStrRef>
              <c:f>'Service wise quarterly detail'!$B$4:$C$6</c:f>
              <c:multiLvlStrCache>
                <c:ptCount val="3"/>
                <c:lvl>
                  <c:pt idx="0">
                    <c:v>IT</c:v>
                  </c:pt>
                  <c:pt idx="1">
                    <c:v>IT</c:v>
                  </c:pt>
                  <c:pt idx="2">
                    <c:v>IT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'Service wise quarterly detail'!$E$4:$E$6</c:f>
              <c:numCache>
                <c:formatCode>General</c:formatCode>
                <c:ptCount val="3"/>
                <c:pt idx="0">
                  <c:v>10</c:v>
                </c:pt>
                <c:pt idx="1">
                  <c:v>12</c:v>
                </c:pt>
                <c:pt idx="2">
                  <c:v>5</c:v>
                </c:pt>
              </c:numCache>
            </c:numRef>
          </c:val>
        </c:ser>
        <c:dLbls/>
        <c:axId val="113162496"/>
        <c:axId val="113176576"/>
      </c:barChart>
      <c:lineChart>
        <c:grouping val="standard"/>
        <c:ser>
          <c:idx val="2"/>
          <c:order val="2"/>
          <c:tx>
            <c:strRef>
              <c:f>'Service wise quarterly detail'!$F$3</c:f>
              <c:strCache>
                <c:ptCount val="1"/>
                <c:pt idx="0">
                  <c:v>Win Rate</c:v>
                </c:pt>
              </c:strCache>
            </c:strRef>
          </c:tx>
          <c:marker>
            <c:symbol val="none"/>
          </c:marker>
          <c:cat>
            <c:multiLvlStrRef>
              <c:f>'Service wise quarterly detail'!$B$4:$C$6</c:f>
              <c:multiLvlStrCache>
                <c:ptCount val="3"/>
                <c:lvl>
                  <c:pt idx="0">
                    <c:v>IT</c:v>
                  </c:pt>
                  <c:pt idx="1">
                    <c:v>IT</c:v>
                  </c:pt>
                  <c:pt idx="2">
                    <c:v>IT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'Service wise quarterly detail'!$F$4:$F$6</c:f>
              <c:numCache>
                <c:formatCode>0%</c:formatCode>
                <c:ptCount val="3"/>
                <c:pt idx="0">
                  <c:v>1</c:v>
                </c:pt>
                <c:pt idx="1">
                  <c:v>0.8571428571428571</c:v>
                </c:pt>
                <c:pt idx="2">
                  <c:v>0.35714285714285715</c:v>
                </c:pt>
              </c:numCache>
            </c:numRef>
          </c:val>
        </c:ser>
        <c:dLbls/>
        <c:marker val="1"/>
        <c:axId val="113197056"/>
        <c:axId val="113178496"/>
      </c:lineChart>
      <c:catAx>
        <c:axId val="113162496"/>
        <c:scaling>
          <c:orientation val="minMax"/>
        </c:scaling>
        <c:axPos val="b"/>
        <c:tickLblPos val="nextTo"/>
        <c:crossAx val="113176576"/>
        <c:crosses val="autoZero"/>
        <c:auto val="1"/>
        <c:lblAlgn val="ctr"/>
        <c:lblOffset val="100"/>
      </c:catAx>
      <c:valAx>
        <c:axId val="1131765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</a:t>
                </a:r>
                <a:r>
                  <a:rPr lang="en-US" baseline="0"/>
                  <a:t> Enquiry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13162496"/>
        <c:crosses val="autoZero"/>
        <c:crossBetween val="between"/>
      </c:valAx>
      <c:valAx>
        <c:axId val="113178496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Win Rate</a:t>
                </a:r>
              </a:p>
            </c:rich>
          </c:tx>
          <c:layout/>
        </c:title>
        <c:numFmt formatCode="0%" sourceLinked="1"/>
        <c:tickLblPos val="nextTo"/>
        <c:crossAx val="113197056"/>
        <c:crosses val="max"/>
        <c:crossBetween val="between"/>
      </c:valAx>
      <c:catAx>
        <c:axId val="113197056"/>
        <c:scaling>
          <c:orientation val="minMax"/>
        </c:scaling>
        <c:delete val="1"/>
        <c:axPos val="b"/>
        <c:tickLblPos val="nextTo"/>
        <c:crossAx val="113178496"/>
        <c:crosses val="autoZero"/>
        <c:auto val="1"/>
        <c:lblAlgn val="ctr"/>
        <c:lblOffset val="100"/>
      </c:cat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 enquiry performance of Accounting Service</a:t>
            </a:r>
          </a:p>
        </c:rich>
      </c:tx>
      <c:layout>
        <c:manualLayout>
          <c:xMode val="edge"/>
          <c:yMode val="edge"/>
          <c:x val="0.10348051797392727"/>
          <c:y val="2.777777777777779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'Service wise quarterly detail'!$D$9</c:f>
              <c:strCache>
                <c:ptCount val="1"/>
                <c:pt idx="0">
                  <c:v>Enquiry received</c:v>
                </c:pt>
              </c:strCache>
            </c:strRef>
          </c:tx>
          <c:cat>
            <c:multiLvlStrRef>
              <c:f>'Service wise quarterly detail'!$B$10:$C$12</c:f>
              <c:multiLvlStrCache>
                <c:ptCount val="3"/>
                <c:lvl>
                  <c:pt idx="0">
                    <c:v>Accounting</c:v>
                  </c:pt>
                  <c:pt idx="1">
                    <c:v>Accounting</c:v>
                  </c:pt>
                  <c:pt idx="2">
                    <c:v>Accounting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'Service wise quarterly detail'!$D$10:$D$12</c:f>
              <c:numCache>
                <c:formatCode>General</c:formatCode>
                <c:ptCount val="3"/>
                <c:pt idx="0">
                  <c:v>20</c:v>
                </c:pt>
                <c:pt idx="1">
                  <c:v>9</c:v>
                </c:pt>
                <c:pt idx="2">
                  <c:v>15</c:v>
                </c:pt>
              </c:numCache>
            </c:numRef>
          </c:val>
        </c:ser>
        <c:ser>
          <c:idx val="1"/>
          <c:order val="1"/>
          <c:tx>
            <c:strRef>
              <c:f>'Service wise quarterly detail'!$E$9</c:f>
              <c:strCache>
                <c:ptCount val="1"/>
                <c:pt idx="0">
                  <c:v>Enquiry Converted</c:v>
                </c:pt>
              </c:strCache>
            </c:strRef>
          </c:tx>
          <c:cat>
            <c:multiLvlStrRef>
              <c:f>'Service wise quarterly detail'!$B$10:$C$12</c:f>
              <c:multiLvlStrCache>
                <c:ptCount val="3"/>
                <c:lvl>
                  <c:pt idx="0">
                    <c:v>Accounting</c:v>
                  </c:pt>
                  <c:pt idx="1">
                    <c:v>Accounting</c:v>
                  </c:pt>
                  <c:pt idx="2">
                    <c:v>Accounting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'Service wise quarterly detail'!$E$10:$E$12</c:f>
              <c:numCache>
                <c:formatCode>General</c:formatCode>
                <c:ptCount val="3"/>
                <c:pt idx="0">
                  <c:v>18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</c:ser>
        <c:dLbls/>
        <c:axId val="113216896"/>
        <c:axId val="113230976"/>
      </c:barChart>
      <c:lineChart>
        <c:grouping val="standard"/>
        <c:ser>
          <c:idx val="2"/>
          <c:order val="2"/>
          <c:tx>
            <c:strRef>
              <c:f>'Service wise quarterly detail'!$F$9</c:f>
              <c:strCache>
                <c:ptCount val="1"/>
                <c:pt idx="0">
                  <c:v>Win Rate</c:v>
                </c:pt>
              </c:strCache>
            </c:strRef>
          </c:tx>
          <c:marker>
            <c:symbol val="none"/>
          </c:marker>
          <c:cat>
            <c:multiLvlStrRef>
              <c:f>'Service wise quarterly detail'!$B$10:$C$12</c:f>
              <c:multiLvlStrCache>
                <c:ptCount val="3"/>
                <c:lvl>
                  <c:pt idx="0">
                    <c:v>Accounting</c:v>
                  </c:pt>
                  <c:pt idx="1">
                    <c:v>Accounting</c:v>
                  </c:pt>
                  <c:pt idx="2">
                    <c:v>Accounting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'Service wise quarterly detail'!$F$10:$F$12</c:f>
              <c:numCache>
                <c:formatCode>0%</c:formatCode>
                <c:ptCount val="3"/>
                <c:pt idx="0">
                  <c:v>0.9</c:v>
                </c:pt>
                <c:pt idx="1">
                  <c:v>0.55555555555555558</c:v>
                </c:pt>
                <c:pt idx="2">
                  <c:v>0.4</c:v>
                </c:pt>
              </c:numCache>
            </c:numRef>
          </c:val>
        </c:ser>
        <c:dLbls/>
        <c:marker val="1"/>
        <c:axId val="113239168"/>
        <c:axId val="113232896"/>
      </c:lineChart>
      <c:catAx>
        <c:axId val="113216896"/>
        <c:scaling>
          <c:orientation val="minMax"/>
        </c:scaling>
        <c:axPos val="b"/>
        <c:tickLblPos val="nextTo"/>
        <c:crossAx val="113230976"/>
        <c:crosses val="autoZero"/>
        <c:auto val="1"/>
        <c:lblAlgn val="ctr"/>
        <c:lblOffset val="100"/>
      </c:catAx>
      <c:valAx>
        <c:axId val="1132309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Enquiry</a:t>
                </a:r>
              </a:p>
            </c:rich>
          </c:tx>
          <c:layout/>
        </c:title>
        <c:numFmt formatCode="General" sourceLinked="1"/>
        <c:tickLblPos val="nextTo"/>
        <c:crossAx val="113216896"/>
        <c:crosses val="autoZero"/>
        <c:crossBetween val="between"/>
      </c:valAx>
      <c:valAx>
        <c:axId val="113232896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Win Rate</a:t>
                </a:r>
              </a:p>
            </c:rich>
          </c:tx>
          <c:layout/>
        </c:title>
        <c:numFmt formatCode="0%" sourceLinked="1"/>
        <c:tickLblPos val="nextTo"/>
        <c:crossAx val="113239168"/>
        <c:crosses val="max"/>
        <c:crossBetween val="between"/>
      </c:valAx>
      <c:catAx>
        <c:axId val="113239168"/>
        <c:scaling>
          <c:orientation val="minMax"/>
        </c:scaling>
        <c:delete val="1"/>
        <c:axPos val="b"/>
        <c:tickLblPos val="nextTo"/>
        <c:crossAx val="113232896"/>
        <c:crosses val="autoZero"/>
        <c:auto val="1"/>
        <c:lblAlgn val="ctr"/>
        <c:lblOffset val="100"/>
      </c:cat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 enquiry performance of Social media and marketing service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'Service wise quarterly detail'!$D$15</c:f>
              <c:strCache>
                <c:ptCount val="1"/>
                <c:pt idx="0">
                  <c:v>Enquiry received</c:v>
                </c:pt>
              </c:strCache>
            </c:strRef>
          </c:tx>
          <c:cat>
            <c:multiLvlStrRef>
              <c:f>'Service wise quarterly detail'!$B$16:$C$18</c:f>
              <c:multiLvlStrCache>
                <c:ptCount val="3"/>
                <c:lvl>
                  <c:pt idx="0">
                    <c:v>Social media marketing</c:v>
                  </c:pt>
                  <c:pt idx="1">
                    <c:v>Social media marketing</c:v>
                  </c:pt>
                  <c:pt idx="2">
                    <c:v>Social media marketing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'Service wise quarterly detail'!$D$16:$D$18</c:f>
              <c:numCache>
                <c:formatCode>General</c:formatCode>
                <c:ptCount val="3"/>
                <c:pt idx="0">
                  <c:v>20</c:v>
                </c:pt>
                <c:pt idx="1">
                  <c:v>7</c:v>
                </c:pt>
                <c:pt idx="2">
                  <c:v>11</c:v>
                </c:pt>
              </c:numCache>
            </c:numRef>
          </c:val>
        </c:ser>
        <c:ser>
          <c:idx val="1"/>
          <c:order val="1"/>
          <c:tx>
            <c:strRef>
              <c:f>'Service wise quarterly detail'!$E$15</c:f>
              <c:strCache>
                <c:ptCount val="1"/>
                <c:pt idx="0">
                  <c:v>Enquiry Converted</c:v>
                </c:pt>
              </c:strCache>
            </c:strRef>
          </c:tx>
          <c:cat>
            <c:multiLvlStrRef>
              <c:f>'Service wise quarterly detail'!$B$16:$C$18</c:f>
              <c:multiLvlStrCache>
                <c:ptCount val="3"/>
                <c:lvl>
                  <c:pt idx="0">
                    <c:v>Social media marketing</c:v>
                  </c:pt>
                  <c:pt idx="1">
                    <c:v>Social media marketing</c:v>
                  </c:pt>
                  <c:pt idx="2">
                    <c:v>Social media marketing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'Service wise quarterly detail'!$E$16:$E$18</c:f>
              <c:numCache>
                <c:formatCode>General</c:formatCode>
                <c:ptCount val="3"/>
                <c:pt idx="0">
                  <c:v>10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</c:ser>
        <c:dLbls/>
        <c:axId val="113300224"/>
        <c:axId val="113301760"/>
      </c:barChart>
      <c:lineChart>
        <c:grouping val="standard"/>
        <c:ser>
          <c:idx val="2"/>
          <c:order val="2"/>
          <c:tx>
            <c:strRef>
              <c:f>'Service wise quarterly detail'!$F$15</c:f>
              <c:strCache>
                <c:ptCount val="1"/>
                <c:pt idx="0">
                  <c:v>Win Rate</c:v>
                </c:pt>
              </c:strCache>
            </c:strRef>
          </c:tx>
          <c:marker>
            <c:symbol val="none"/>
          </c:marker>
          <c:cat>
            <c:multiLvlStrRef>
              <c:f>'Service wise quarterly detail'!$B$16:$C$18</c:f>
              <c:multiLvlStrCache>
                <c:ptCount val="3"/>
                <c:lvl>
                  <c:pt idx="0">
                    <c:v>Social media marketing</c:v>
                  </c:pt>
                  <c:pt idx="1">
                    <c:v>Social media marketing</c:v>
                  </c:pt>
                  <c:pt idx="2">
                    <c:v>Social media marketing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'Service wise quarterly detail'!$F$16:$F$18</c:f>
              <c:numCache>
                <c:formatCode>0%</c:formatCode>
                <c:ptCount val="3"/>
                <c:pt idx="0">
                  <c:v>0.5</c:v>
                </c:pt>
                <c:pt idx="1">
                  <c:v>0.42857142857142855</c:v>
                </c:pt>
                <c:pt idx="2">
                  <c:v>0.36363636363636365</c:v>
                </c:pt>
              </c:numCache>
            </c:numRef>
          </c:val>
        </c:ser>
        <c:dLbls/>
        <c:marker val="1"/>
        <c:axId val="113309952"/>
        <c:axId val="113308032"/>
      </c:lineChart>
      <c:catAx>
        <c:axId val="113300224"/>
        <c:scaling>
          <c:orientation val="minMax"/>
        </c:scaling>
        <c:axPos val="b"/>
        <c:tickLblPos val="nextTo"/>
        <c:crossAx val="113301760"/>
        <c:crosses val="autoZero"/>
        <c:auto val="1"/>
        <c:lblAlgn val="ctr"/>
        <c:lblOffset val="100"/>
      </c:catAx>
      <c:valAx>
        <c:axId val="11330176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Enquiry</a:t>
                </a:r>
              </a:p>
            </c:rich>
          </c:tx>
          <c:layout/>
        </c:title>
        <c:numFmt formatCode="General" sourceLinked="1"/>
        <c:tickLblPos val="nextTo"/>
        <c:crossAx val="113300224"/>
        <c:crosses val="autoZero"/>
        <c:crossBetween val="between"/>
      </c:valAx>
      <c:valAx>
        <c:axId val="11330803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Win Rate</a:t>
                </a:r>
              </a:p>
            </c:rich>
          </c:tx>
          <c:layout/>
        </c:title>
        <c:numFmt formatCode="0%" sourceLinked="1"/>
        <c:tickLblPos val="nextTo"/>
        <c:crossAx val="113309952"/>
        <c:crosses val="max"/>
        <c:crossBetween val="between"/>
      </c:valAx>
      <c:catAx>
        <c:axId val="113309952"/>
        <c:scaling>
          <c:orientation val="minMax"/>
        </c:scaling>
        <c:delete val="1"/>
        <c:axPos val="b"/>
        <c:tickLblPos val="nextTo"/>
        <c:crossAx val="113308032"/>
        <c:crosses val="autoZero"/>
        <c:auto val="1"/>
        <c:lblAlgn val="ctr"/>
        <c:lblOffset val="100"/>
      </c:cat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 due-date task performance report- Quarterly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'Employee due-date task report'!$D$5</c:f>
              <c:strCache>
                <c:ptCount val="1"/>
                <c:pt idx="0">
                  <c:v>Completed Due-date tasks</c:v>
                </c:pt>
              </c:strCache>
            </c:strRef>
          </c:tx>
          <c:cat>
            <c:multiLvlStrRef>
              <c:f>'Employee due-date task report'!$B$6:$C$11</c:f>
              <c:multiLvlStrCache>
                <c:ptCount val="6"/>
                <c:lvl>
                  <c:pt idx="0">
                    <c:v>10</c:v>
                  </c:pt>
                  <c:pt idx="1">
                    <c:v>19</c:v>
                  </c:pt>
                  <c:pt idx="2">
                    <c:v>10</c:v>
                  </c:pt>
                  <c:pt idx="3">
                    <c:v>20</c:v>
                  </c:pt>
                  <c:pt idx="4">
                    <c:v>20</c:v>
                  </c:pt>
                  <c:pt idx="5">
                    <c:v>20</c:v>
                  </c:pt>
                </c:lvl>
                <c:lvl>
                  <c:pt idx="0">
                    <c:v>Income-tax Return</c:v>
                  </c:pt>
                  <c:pt idx="1">
                    <c:v>GST</c:v>
                  </c:pt>
                  <c:pt idx="2">
                    <c:v>Income-tax Return</c:v>
                  </c:pt>
                  <c:pt idx="3">
                    <c:v>GST</c:v>
                  </c:pt>
                  <c:pt idx="4">
                    <c:v>Income-tax Return</c:v>
                  </c:pt>
                  <c:pt idx="5">
                    <c:v>GST</c:v>
                  </c:pt>
                </c:lvl>
              </c:multiLvlStrCache>
            </c:multiLvlStrRef>
          </c:cat>
          <c:val>
            <c:numRef>
              <c:f>'Employee due-date task report'!$D$6:$D$11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</c:ser>
        <c:ser>
          <c:idx val="1"/>
          <c:order val="1"/>
          <c:tx>
            <c:strRef>
              <c:f>'Employee due-date task report'!$E$5</c:f>
              <c:strCache>
                <c:ptCount val="1"/>
                <c:pt idx="0">
                  <c:v>Remaining</c:v>
                </c:pt>
              </c:strCache>
            </c:strRef>
          </c:tx>
          <c:cat>
            <c:multiLvlStrRef>
              <c:f>'Employee due-date task report'!$B$6:$C$11</c:f>
              <c:multiLvlStrCache>
                <c:ptCount val="6"/>
                <c:lvl>
                  <c:pt idx="0">
                    <c:v>10</c:v>
                  </c:pt>
                  <c:pt idx="1">
                    <c:v>19</c:v>
                  </c:pt>
                  <c:pt idx="2">
                    <c:v>10</c:v>
                  </c:pt>
                  <c:pt idx="3">
                    <c:v>20</c:v>
                  </c:pt>
                  <c:pt idx="4">
                    <c:v>20</c:v>
                  </c:pt>
                  <c:pt idx="5">
                    <c:v>20</c:v>
                  </c:pt>
                </c:lvl>
                <c:lvl>
                  <c:pt idx="0">
                    <c:v>Income-tax Return</c:v>
                  </c:pt>
                  <c:pt idx="1">
                    <c:v>GST</c:v>
                  </c:pt>
                  <c:pt idx="2">
                    <c:v>Income-tax Return</c:v>
                  </c:pt>
                  <c:pt idx="3">
                    <c:v>GST</c:v>
                  </c:pt>
                  <c:pt idx="4">
                    <c:v>Income-tax Return</c:v>
                  </c:pt>
                  <c:pt idx="5">
                    <c:v>GST</c:v>
                  </c:pt>
                </c:lvl>
              </c:multiLvlStrCache>
            </c:multiLvlStrRef>
          </c:cat>
          <c:val>
            <c:numRef>
              <c:f>'Employee due-date task report'!$E$6:$E$11</c:f>
              <c:numCache>
                <c:formatCode>General</c:formatCode>
                <c:ptCount val="6"/>
                <c:pt idx="0">
                  <c:v>8</c:v>
                </c:pt>
                <c:pt idx="1">
                  <c:v>17</c:v>
                </c:pt>
                <c:pt idx="2">
                  <c:v>8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</c:ser>
        <c:dLbls/>
        <c:gapWidth val="75"/>
        <c:overlap val="-25"/>
        <c:axId val="113487232"/>
        <c:axId val="113386624"/>
      </c:barChart>
      <c:lineChart>
        <c:grouping val="standard"/>
        <c:ser>
          <c:idx val="2"/>
          <c:order val="2"/>
          <c:tx>
            <c:strRef>
              <c:f>'Employee due-date task report'!$F$5</c:f>
              <c:strCache>
                <c:ptCount val="1"/>
                <c:pt idx="0">
                  <c:v>% of work completed</c:v>
                </c:pt>
              </c:strCache>
            </c:strRef>
          </c:tx>
          <c:marker>
            <c:symbol val="none"/>
          </c:marker>
          <c:cat>
            <c:multiLvlStrRef>
              <c:f>'Employee due-date task report'!$B$6:$C$11</c:f>
              <c:multiLvlStrCache>
                <c:ptCount val="6"/>
                <c:lvl>
                  <c:pt idx="0">
                    <c:v>10</c:v>
                  </c:pt>
                  <c:pt idx="1">
                    <c:v>19</c:v>
                  </c:pt>
                  <c:pt idx="2">
                    <c:v>10</c:v>
                  </c:pt>
                  <c:pt idx="3">
                    <c:v>20</c:v>
                  </c:pt>
                  <c:pt idx="4">
                    <c:v>20</c:v>
                  </c:pt>
                  <c:pt idx="5">
                    <c:v>20</c:v>
                  </c:pt>
                </c:lvl>
                <c:lvl>
                  <c:pt idx="0">
                    <c:v>Income-tax Return</c:v>
                  </c:pt>
                  <c:pt idx="1">
                    <c:v>GST</c:v>
                  </c:pt>
                  <c:pt idx="2">
                    <c:v>Income-tax Return</c:v>
                  </c:pt>
                  <c:pt idx="3">
                    <c:v>GST</c:v>
                  </c:pt>
                  <c:pt idx="4">
                    <c:v>Income-tax Return</c:v>
                  </c:pt>
                  <c:pt idx="5">
                    <c:v>GST</c:v>
                  </c:pt>
                </c:lvl>
              </c:multiLvlStrCache>
            </c:multiLvlStrRef>
          </c:cat>
          <c:val>
            <c:numRef>
              <c:f>'Employee due-date task report'!$F$6:$F$11</c:f>
              <c:numCache>
                <c:formatCode>0%</c:formatCode>
                <c:ptCount val="6"/>
                <c:pt idx="0">
                  <c:v>0.2</c:v>
                </c:pt>
                <c:pt idx="1">
                  <c:v>0.10526315789473684</c:v>
                </c:pt>
                <c:pt idx="2">
                  <c:v>0.2</c:v>
                </c:pt>
                <c:pt idx="3">
                  <c:v>0.4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</c:ser>
        <c:ser>
          <c:idx val="3"/>
          <c:order val="3"/>
          <c:tx>
            <c:strRef>
              <c:f>'Employee due-date task report'!$G$5</c:f>
              <c:strCache>
                <c:ptCount val="1"/>
                <c:pt idx="0">
                  <c:v>% of work remaining</c:v>
                </c:pt>
              </c:strCache>
            </c:strRef>
          </c:tx>
          <c:marker>
            <c:symbol val="none"/>
          </c:marker>
          <c:cat>
            <c:multiLvlStrRef>
              <c:f>'Employee due-date task report'!$B$6:$C$11</c:f>
              <c:multiLvlStrCache>
                <c:ptCount val="6"/>
                <c:lvl>
                  <c:pt idx="0">
                    <c:v>10</c:v>
                  </c:pt>
                  <c:pt idx="1">
                    <c:v>19</c:v>
                  </c:pt>
                  <c:pt idx="2">
                    <c:v>10</c:v>
                  </c:pt>
                  <c:pt idx="3">
                    <c:v>20</c:v>
                  </c:pt>
                  <c:pt idx="4">
                    <c:v>20</c:v>
                  </c:pt>
                  <c:pt idx="5">
                    <c:v>20</c:v>
                  </c:pt>
                </c:lvl>
                <c:lvl>
                  <c:pt idx="0">
                    <c:v>Income-tax Return</c:v>
                  </c:pt>
                  <c:pt idx="1">
                    <c:v>GST</c:v>
                  </c:pt>
                  <c:pt idx="2">
                    <c:v>Income-tax Return</c:v>
                  </c:pt>
                  <c:pt idx="3">
                    <c:v>GST</c:v>
                  </c:pt>
                  <c:pt idx="4">
                    <c:v>Income-tax Return</c:v>
                  </c:pt>
                  <c:pt idx="5">
                    <c:v>GST</c:v>
                  </c:pt>
                </c:lvl>
              </c:multiLvlStrCache>
            </c:multiLvlStrRef>
          </c:cat>
          <c:val>
            <c:numRef>
              <c:f>'Employee due-date task report'!$G$6:$G$11</c:f>
              <c:numCache>
                <c:formatCode>0%</c:formatCode>
                <c:ptCount val="6"/>
                <c:pt idx="0">
                  <c:v>0.8</c:v>
                </c:pt>
                <c:pt idx="1">
                  <c:v>0.89473684210526316</c:v>
                </c:pt>
                <c:pt idx="2">
                  <c:v>0.8</c:v>
                </c:pt>
                <c:pt idx="3">
                  <c:v>0.6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</c:ser>
        <c:dLbls/>
        <c:marker val="1"/>
        <c:axId val="113390720"/>
        <c:axId val="113388544"/>
      </c:lineChart>
      <c:catAx>
        <c:axId val="113487232"/>
        <c:scaling>
          <c:orientation val="minMax"/>
        </c:scaling>
        <c:axPos val="b"/>
        <c:majorTickMark val="none"/>
        <c:tickLblPos val="nextTo"/>
        <c:crossAx val="113386624"/>
        <c:crosses val="autoZero"/>
        <c:auto val="1"/>
        <c:lblAlgn val="ctr"/>
        <c:lblOffset val="100"/>
      </c:catAx>
      <c:valAx>
        <c:axId val="11338662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Due-date Task</a:t>
                </a:r>
              </a:p>
            </c:rich>
          </c:tx>
          <c:layout/>
        </c:title>
        <c:numFmt formatCode="General" sourceLinked="1"/>
        <c:majorTickMark val="none"/>
        <c:tickLblPos val="nextTo"/>
        <c:spPr>
          <a:ln w="9525">
            <a:noFill/>
          </a:ln>
        </c:spPr>
        <c:crossAx val="113487232"/>
        <c:crosses val="autoZero"/>
        <c:crossBetween val="between"/>
      </c:valAx>
      <c:valAx>
        <c:axId val="11338854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of work completed and remaining</a:t>
                </a:r>
              </a:p>
            </c:rich>
          </c:tx>
          <c:layout/>
        </c:title>
        <c:numFmt formatCode="0%" sourceLinked="1"/>
        <c:tickLblPos val="nextTo"/>
        <c:crossAx val="113390720"/>
        <c:crosses val="max"/>
        <c:crossBetween val="between"/>
      </c:valAx>
      <c:catAx>
        <c:axId val="113390720"/>
        <c:scaling>
          <c:orientation val="minMax"/>
        </c:scaling>
        <c:delete val="1"/>
        <c:axPos val="b"/>
        <c:tickLblPos val="nextTo"/>
        <c:crossAx val="113388544"/>
        <c:crosses val="autoZero"/>
        <c:auto val="1"/>
        <c:lblAlgn val="ctr"/>
        <c:lblOffset val="100"/>
      </c:catAx>
    </c:plotArea>
    <c:legend>
      <c:legendPos val="b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 due-date ITR filing task performance </a:t>
            </a:r>
          </a:p>
        </c:rich>
      </c:tx>
      <c:layout>
        <c:manualLayout>
          <c:xMode val="edge"/>
          <c:yMode val="edge"/>
          <c:x val="9.1432096437047167E-2"/>
          <c:y val="3.7037037037037042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'Employee due-date task bifurcat'!$C$24</c:f>
              <c:strCache>
                <c:ptCount val="1"/>
                <c:pt idx="0">
                  <c:v>Income-tax Return task alloted</c:v>
                </c:pt>
              </c:strCache>
            </c:strRef>
          </c:tx>
          <c:cat>
            <c:strRef>
              <c:f>'Employee due-date task bifurcat'!$B$25:$B$27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'Employee due-date task bifurcat'!$C$25:$C$27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20</c:v>
                </c:pt>
              </c:numCache>
            </c:numRef>
          </c:val>
        </c:ser>
        <c:ser>
          <c:idx val="1"/>
          <c:order val="1"/>
          <c:tx>
            <c:strRef>
              <c:f>'Employee due-date task bifurcat'!$D$24</c:f>
              <c:strCache>
                <c:ptCount val="1"/>
                <c:pt idx="0">
                  <c:v>Income-tax Return task completed</c:v>
                </c:pt>
              </c:strCache>
            </c:strRef>
          </c:tx>
          <c:cat>
            <c:strRef>
              <c:f>'Employee due-date task bifurcat'!$B$25:$B$27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'Employee due-date task bifurcat'!$D$25:$D$27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10</c:v>
                </c:pt>
              </c:numCache>
            </c:numRef>
          </c:val>
        </c:ser>
        <c:ser>
          <c:idx val="2"/>
          <c:order val="2"/>
          <c:tx>
            <c:strRef>
              <c:f>'Employee due-date task bifurcat'!$E$24</c:f>
              <c:strCache>
                <c:ptCount val="1"/>
                <c:pt idx="0">
                  <c:v>Remaining</c:v>
                </c:pt>
              </c:strCache>
            </c:strRef>
          </c:tx>
          <c:cat>
            <c:strRef>
              <c:f>'Employee due-date task bifurcat'!$B$25:$B$27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'Employee due-date task bifurcat'!$E$25:$E$27</c:f>
              <c:numCache>
                <c:formatCode>General</c:formatCode>
                <c:ptCount val="3"/>
                <c:pt idx="0">
                  <c:v>8</c:v>
                </c:pt>
                <c:pt idx="1">
                  <c:v>8</c:v>
                </c:pt>
                <c:pt idx="2">
                  <c:v>10</c:v>
                </c:pt>
              </c:numCache>
            </c:numRef>
          </c:val>
        </c:ser>
        <c:dLbls/>
        <c:axId val="113597824"/>
        <c:axId val="113607808"/>
      </c:barChart>
      <c:lineChart>
        <c:grouping val="standard"/>
        <c:ser>
          <c:idx val="3"/>
          <c:order val="3"/>
          <c:tx>
            <c:strRef>
              <c:f>'Employee due-date task bifurcat'!$F$24</c:f>
              <c:strCache>
                <c:ptCount val="1"/>
                <c:pt idx="0">
                  <c:v>% of work completed</c:v>
                </c:pt>
              </c:strCache>
            </c:strRef>
          </c:tx>
          <c:marker>
            <c:symbol val="none"/>
          </c:marker>
          <c:cat>
            <c:strRef>
              <c:f>'Employee due-date task bifurcat'!$B$25:$B$27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'Employee due-date task bifurcat'!$F$25:$F$27</c:f>
              <c:numCache>
                <c:formatCode>0%</c:formatCode>
                <c:ptCount val="3"/>
                <c:pt idx="0">
                  <c:v>0.2</c:v>
                </c:pt>
                <c:pt idx="1">
                  <c:v>0.2</c:v>
                </c:pt>
                <c:pt idx="2">
                  <c:v>0.5</c:v>
                </c:pt>
              </c:numCache>
            </c:numRef>
          </c:val>
        </c:ser>
        <c:ser>
          <c:idx val="4"/>
          <c:order val="4"/>
          <c:tx>
            <c:strRef>
              <c:f>'Employee due-date task bifurcat'!$G$24</c:f>
              <c:strCache>
                <c:ptCount val="1"/>
                <c:pt idx="0">
                  <c:v>% of work remaining</c:v>
                </c:pt>
              </c:strCache>
            </c:strRef>
          </c:tx>
          <c:marker>
            <c:symbol val="none"/>
          </c:marker>
          <c:cat>
            <c:strRef>
              <c:f>'Employee due-date task bifurcat'!$B$25:$B$27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'Employee due-date task bifurcat'!$G$25:$G$27</c:f>
              <c:numCache>
                <c:formatCode>0%</c:formatCode>
                <c:ptCount val="3"/>
                <c:pt idx="0">
                  <c:v>0.8</c:v>
                </c:pt>
                <c:pt idx="1">
                  <c:v>0.8</c:v>
                </c:pt>
                <c:pt idx="2">
                  <c:v>0.5</c:v>
                </c:pt>
              </c:numCache>
            </c:numRef>
          </c:val>
        </c:ser>
        <c:dLbls/>
        <c:marker val="1"/>
        <c:axId val="113628288"/>
        <c:axId val="113609728"/>
      </c:lineChart>
      <c:catAx>
        <c:axId val="113597824"/>
        <c:scaling>
          <c:orientation val="minMax"/>
        </c:scaling>
        <c:axPos val="b"/>
        <c:tickLblPos val="nextTo"/>
        <c:crossAx val="113607808"/>
        <c:crosses val="autoZero"/>
        <c:auto val="1"/>
        <c:lblAlgn val="ctr"/>
        <c:lblOffset val="100"/>
      </c:catAx>
      <c:valAx>
        <c:axId val="11360780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ITR Task</a:t>
                </a:r>
              </a:p>
            </c:rich>
          </c:tx>
          <c:layout/>
        </c:title>
        <c:numFmt formatCode="General" sourceLinked="1"/>
        <c:tickLblPos val="nextTo"/>
        <c:crossAx val="113597824"/>
        <c:crosses val="autoZero"/>
        <c:crossBetween val="between"/>
      </c:valAx>
      <c:valAx>
        <c:axId val="113609728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of work completed and remaining</a:t>
                </a:r>
              </a:p>
            </c:rich>
          </c:tx>
          <c:layout/>
        </c:title>
        <c:numFmt formatCode="0%" sourceLinked="1"/>
        <c:tickLblPos val="nextTo"/>
        <c:crossAx val="113628288"/>
        <c:crosses val="max"/>
        <c:crossBetween val="between"/>
      </c:valAx>
      <c:catAx>
        <c:axId val="113628288"/>
        <c:scaling>
          <c:orientation val="minMax"/>
        </c:scaling>
        <c:delete val="1"/>
        <c:axPos val="b"/>
        <c:tickLblPos val="nextTo"/>
        <c:crossAx val="113609728"/>
        <c:crosses val="autoZero"/>
        <c:auto val="1"/>
        <c:lblAlgn val="ctr"/>
        <c:lblOffset val="100"/>
      </c:cat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 due-date GSTR filing task performance</a:t>
            </a:r>
          </a:p>
        </c:rich>
      </c:tx>
      <c:layout>
        <c:manualLayout>
          <c:xMode val="edge"/>
          <c:yMode val="edge"/>
          <c:x val="8.745835666154439E-2"/>
          <c:y val="3.2407407407407413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'Employee due-date task bifurcat'!$C$4</c:f>
              <c:strCache>
                <c:ptCount val="1"/>
                <c:pt idx="0">
                  <c:v>GST task alloted</c:v>
                </c:pt>
              </c:strCache>
            </c:strRef>
          </c:tx>
          <c:cat>
            <c:strRef>
              <c:f>'Employee due-date task bifurcat'!$B$5:$B$7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'Employee due-date task bifurcat'!$C$5:$C$7</c:f>
              <c:numCache>
                <c:formatCode>General</c:formatCode>
                <c:ptCount val="3"/>
                <c:pt idx="0">
                  <c:v>19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</c:ser>
        <c:ser>
          <c:idx val="1"/>
          <c:order val="1"/>
          <c:tx>
            <c:strRef>
              <c:f>'Employee due-date task bifurcat'!$D$4</c:f>
              <c:strCache>
                <c:ptCount val="1"/>
                <c:pt idx="0">
                  <c:v>completed</c:v>
                </c:pt>
              </c:strCache>
            </c:strRef>
          </c:tx>
          <c:cat>
            <c:strRef>
              <c:f>'Employee due-date task bifurcat'!$B$5:$B$7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'Employee due-date task bifurcat'!$D$5:$D$7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10</c:v>
                </c:pt>
              </c:numCache>
            </c:numRef>
          </c:val>
        </c:ser>
        <c:ser>
          <c:idx val="2"/>
          <c:order val="2"/>
          <c:tx>
            <c:strRef>
              <c:f>'Employee due-date task bifurcat'!$E$4</c:f>
              <c:strCache>
                <c:ptCount val="1"/>
                <c:pt idx="0">
                  <c:v>Remaining</c:v>
                </c:pt>
              </c:strCache>
            </c:strRef>
          </c:tx>
          <c:cat>
            <c:strRef>
              <c:f>'Employee due-date task bifurcat'!$B$5:$B$7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'Employee due-date task bifurcat'!$E$5:$E$7</c:f>
              <c:numCache>
                <c:formatCode>General</c:formatCode>
                <c:ptCount val="3"/>
                <c:pt idx="0">
                  <c:v>17</c:v>
                </c:pt>
                <c:pt idx="1">
                  <c:v>12</c:v>
                </c:pt>
                <c:pt idx="2">
                  <c:v>10</c:v>
                </c:pt>
              </c:numCache>
            </c:numRef>
          </c:val>
        </c:ser>
        <c:dLbls/>
        <c:axId val="113667072"/>
        <c:axId val="113701632"/>
      </c:barChart>
      <c:lineChart>
        <c:grouping val="standard"/>
        <c:ser>
          <c:idx val="3"/>
          <c:order val="3"/>
          <c:tx>
            <c:strRef>
              <c:f>'Employee due-date task bifurcat'!$F$4</c:f>
              <c:strCache>
                <c:ptCount val="1"/>
                <c:pt idx="0">
                  <c:v>% of work completed</c:v>
                </c:pt>
              </c:strCache>
            </c:strRef>
          </c:tx>
          <c:marker>
            <c:symbol val="none"/>
          </c:marker>
          <c:cat>
            <c:strRef>
              <c:f>'Employee due-date task bifurcat'!$B$5:$B$7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'Employee due-date task bifurcat'!$F$5:$F$7</c:f>
              <c:numCache>
                <c:formatCode>0%</c:formatCode>
                <c:ptCount val="3"/>
                <c:pt idx="0">
                  <c:v>0.10526315789473684</c:v>
                </c:pt>
                <c:pt idx="1">
                  <c:v>0.4</c:v>
                </c:pt>
                <c:pt idx="2">
                  <c:v>0.5</c:v>
                </c:pt>
              </c:numCache>
            </c:numRef>
          </c:val>
        </c:ser>
        <c:ser>
          <c:idx val="4"/>
          <c:order val="4"/>
          <c:tx>
            <c:strRef>
              <c:f>'Employee due-date task bifurcat'!$G$4</c:f>
              <c:strCache>
                <c:ptCount val="1"/>
                <c:pt idx="0">
                  <c:v>% of work remaining</c:v>
                </c:pt>
              </c:strCache>
            </c:strRef>
          </c:tx>
          <c:marker>
            <c:symbol val="none"/>
          </c:marker>
          <c:cat>
            <c:strRef>
              <c:f>'Employee due-date task bifurcat'!$B$5:$B$7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'Employee due-date task bifurcat'!$G$5:$G$7</c:f>
              <c:numCache>
                <c:formatCode>0%</c:formatCode>
                <c:ptCount val="3"/>
                <c:pt idx="0">
                  <c:v>0.89473684210526316</c:v>
                </c:pt>
                <c:pt idx="1">
                  <c:v>0.6</c:v>
                </c:pt>
                <c:pt idx="2">
                  <c:v>0.5</c:v>
                </c:pt>
              </c:numCache>
            </c:numRef>
          </c:val>
        </c:ser>
        <c:dLbls/>
        <c:marker val="1"/>
        <c:axId val="113713920"/>
        <c:axId val="113703552"/>
      </c:lineChart>
      <c:catAx>
        <c:axId val="113667072"/>
        <c:scaling>
          <c:orientation val="minMax"/>
        </c:scaling>
        <c:axPos val="b"/>
        <c:tickLblPos val="nextTo"/>
        <c:crossAx val="113701632"/>
        <c:crosses val="autoZero"/>
        <c:auto val="1"/>
        <c:lblAlgn val="ctr"/>
        <c:lblOffset val="100"/>
      </c:catAx>
      <c:valAx>
        <c:axId val="11370163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GST Task</a:t>
                </a:r>
              </a:p>
            </c:rich>
          </c:tx>
          <c:layout/>
        </c:title>
        <c:numFmt formatCode="General" sourceLinked="1"/>
        <c:tickLblPos val="nextTo"/>
        <c:crossAx val="113667072"/>
        <c:crosses val="autoZero"/>
        <c:crossBetween val="between"/>
      </c:valAx>
      <c:valAx>
        <c:axId val="11370355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 %ge of work completed and remaining</a:t>
                </a:r>
              </a:p>
            </c:rich>
          </c:tx>
          <c:layout/>
        </c:title>
        <c:numFmt formatCode="0%" sourceLinked="1"/>
        <c:tickLblPos val="nextTo"/>
        <c:crossAx val="113713920"/>
        <c:crosses val="max"/>
        <c:crossBetween val="between"/>
      </c:valAx>
      <c:catAx>
        <c:axId val="113713920"/>
        <c:scaling>
          <c:orientation val="minMax"/>
        </c:scaling>
        <c:delete val="1"/>
        <c:axPos val="b"/>
        <c:tickLblPos val="nextTo"/>
        <c:crossAx val="113703552"/>
        <c:crosses val="autoZero"/>
        <c:auto val="1"/>
        <c:lblAlgn val="ctr"/>
        <c:lblOffset val="100"/>
      </c:cat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 project assignment task performance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'Employee project ass. task'!$X$4</c:f>
              <c:strCache>
                <c:ptCount val="1"/>
                <c:pt idx="0">
                  <c:v>Allotted</c:v>
                </c:pt>
              </c:strCache>
            </c:strRef>
          </c:tx>
          <c:cat>
            <c:multiLvlStrRef>
              <c:f>'Employee project ass. task'!$V$5:$W$13</c:f>
              <c:multiLvlStrCache>
                <c:ptCount val="9"/>
                <c:lvl>
                  <c:pt idx="0">
                    <c:v>Analyzing accounting records</c:v>
                  </c:pt>
                  <c:pt idx="1">
                    <c:v>Computing taxes</c:v>
                  </c:pt>
                  <c:pt idx="2">
                    <c:v>Develop Budgets</c:v>
                  </c:pt>
                  <c:pt idx="3">
                    <c:v>Analyzing accounting records</c:v>
                  </c:pt>
                  <c:pt idx="4">
                    <c:v>Computing taxes</c:v>
                  </c:pt>
                  <c:pt idx="5">
                    <c:v>Develop Budgets</c:v>
                  </c:pt>
                  <c:pt idx="6">
                    <c:v>Analyzing accounting records</c:v>
                  </c:pt>
                  <c:pt idx="7">
                    <c:v>Computing taxes</c:v>
                  </c:pt>
                  <c:pt idx="8">
                    <c:v>Develop Budgets</c:v>
                  </c:pt>
                </c:lvl>
                <c:lvl>
                  <c:pt idx="0">
                    <c:v>April</c:v>
                  </c:pt>
                  <c:pt idx="3">
                    <c:v>May</c:v>
                  </c:pt>
                  <c:pt idx="6">
                    <c:v>June</c:v>
                  </c:pt>
                </c:lvl>
              </c:multiLvlStrCache>
            </c:multiLvlStrRef>
          </c:cat>
          <c:val>
            <c:numRef>
              <c:f>'Employee project ass. task'!$X$5:$X$13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</c:numCache>
            </c:numRef>
          </c:val>
        </c:ser>
        <c:ser>
          <c:idx val="1"/>
          <c:order val="1"/>
          <c:tx>
            <c:strRef>
              <c:f>'Employee project ass. task'!$Y$4</c:f>
              <c:strCache>
                <c:ptCount val="1"/>
                <c:pt idx="0">
                  <c:v>completed</c:v>
                </c:pt>
              </c:strCache>
            </c:strRef>
          </c:tx>
          <c:cat>
            <c:multiLvlStrRef>
              <c:f>'Employee project ass. task'!$V$5:$W$13</c:f>
              <c:multiLvlStrCache>
                <c:ptCount val="9"/>
                <c:lvl>
                  <c:pt idx="0">
                    <c:v>Analyzing accounting records</c:v>
                  </c:pt>
                  <c:pt idx="1">
                    <c:v>Computing taxes</c:v>
                  </c:pt>
                  <c:pt idx="2">
                    <c:v>Develop Budgets</c:v>
                  </c:pt>
                  <c:pt idx="3">
                    <c:v>Analyzing accounting records</c:v>
                  </c:pt>
                  <c:pt idx="4">
                    <c:v>Computing taxes</c:v>
                  </c:pt>
                  <c:pt idx="5">
                    <c:v>Develop Budgets</c:v>
                  </c:pt>
                  <c:pt idx="6">
                    <c:v>Analyzing accounting records</c:v>
                  </c:pt>
                  <c:pt idx="7">
                    <c:v>Computing taxes</c:v>
                  </c:pt>
                  <c:pt idx="8">
                    <c:v>Develop Budgets</c:v>
                  </c:pt>
                </c:lvl>
                <c:lvl>
                  <c:pt idx="0">
                    <c:v>April</c:v>
                  </c:pt>
                  <c:pt idx="3">
                    <c:v>May</c:v>
                  </c:pt>
                  <c:pt idx="6">
                    <c:v>June</c:v>
                  </c:pt>
                </c:lvl>
              </c:multiLvlStrCache>
            </c:multiLvlStrRef>
          </c:cat>
          <c:val>
            <c:numRef>
              <c:f>'Employee project ass. task'!$Y$5:$Y$13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8</c:v>
                </c:pt>
                <c:pt idx="7">
                  <c:v>6</c:v>
                </c:pt>
                <c:pt idx="8">
                  <c:v>6</c:v>
                </c:pt>
              </c:numCache>
            </c:numRef>
          </c:val>
        </c:ser>
        <c:ser>
          <c:idx val="2"/>
          <c:order val="2"/>
          <c:tx>
            <c:strRef>
              <c:f>'Employee project ass. task'!$Z$4</c:f>
              <c:strCache>
                <c:ptCount val="1"/>
                <c:pt idx="0">
                  <c:v>Remaining</c:v>
                </c:pt>
              </c:strCache>
            </c:strRef>
          </c:tx>
          <c:cat>
            <c:multiLvlStrRef>
              <c:f>'Employee project ass. task'!$V$5:$W$13</c:f>
              <c:multiLvlStrCache>
                <c:ptCount val="9"/>
                <c:lvl>
                  <c:pt idx="0">
                    <c:v>Analyzing accounting records</c:v>
                  </c:pt>
                  <c:pt idx="1">
                    <c:v>Computing taxes</c:v>
                  </c:pt>
                  <c:pt idx="2">
                    <c:v>Develop Budgets</c:v>
                  </c:pt>
                  <c:pt idx="3">
                    <c:v>Analyzing accounting records</c:v>
                  </c:pt>
                  <c:pt idx="4">
                    <c:v>Computing taxes</c:v>
                  </c:pt>
                  <c:pt idx="5">
                    <c:v>Develop Budgets</c:v>
                  </c:pt>
                  <c:pt idx="6">
                    <c:v>Analyzing accounting records</c:v>
                  </c:pt>
                  <c:pt idx="7">
                    <c:v>Computing taxes</c:v>
                  </c:pt>
                  <c:pt idx="8">
                    <c:v>Develop Budgets</c:v>
                  </c:pt>
                </c:lvl>
                <c:lvl>
                  <c:pt idx="0">
                    <c:v>April</c:v>
                  </c:pt>
                  <c:pt idx="3">
                    <c:v>May</c:v>
                  </c:pt>
                  <c:pt idx="6">
                    <c:v>June</c:v>
                  </c:pt>
                </c:lvl>
              </c:multiLvlStrCache>
            </c:multiLvlStrRef>
          </c:cat>
          <c:val>
            <c:numRef>
              <c:f>'Employee project ass. task'!$Z$5:$Z$13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</c:ser>
        <c:dLbls/>
        <c:gapWidth val="75"/>
        <c:overlap val="-25"/>
        <c:axId val="113843200"/>
        <c:axId val="113857280"/>
      </c:barChart>
      <c:lineChart>
        <c:grouping val="standard"/>
        <c:ser>
          <c:idx val="3"/>
          <c:order val="3"/>
          <c:tx>
            <c:strRef>
              <c:f>'Employee project ass. task'!$AA$4</c:f>
              <c:strCache>
                <c:ptCount val="1"/>
                <c:pt idx="0">
                  <c:v>% of work completed</c:v>
                </c:pt>
              </c:strCache>
            </c:strRef>
          </c:tx>
          <c:marker>
            <c:symbol val="none"/>
          </c:marker>
          <c:cat>
            <c:multiLvlStrRef>
              <c:f>'Employee project ass. task'!$V$5:$W$13</c:f>
              <c:multiLvlStrCache>
                <c:ptCount val="9"/>
                <c:lvl>
                  <c:pt idx="0">
                    <c:v>Analyzing accounting records</c:v>
                  </c:pt>
                  <c:pt idx="1">
                    <c:v>Computing taxes</c:v>
                  </c:pt>
                  <c:pt idx="2">
                    <c:v>Develop Budgets</c:v>
                  </c:pt>
                  <c:pt idx="3">
                    <c:v>Analyzing accounting records</c:v>
                  </c:pt>
                  <c:pt idx="4">
                    <c:v>Computing taxes</c:v>
                  </c:pt>
                  <c:pt idx="5">
                    <c:v>Develop Budgets</c:v>
                  </c:pt>
                  <c:pt idx="6">
                    <c:v>Analyzing accounting records</c:v>
                  </c:pt>
                  <c:pt idx="7">
                    <c:v>Computing taxes</c:v>
                  </c:pt>
                  <c:pt idx="8">
                    <c:v>Develop Budgets</c:v>
                  </c:pt>
                </c:lvl>
                <c:lvl>
                  <c:pt idx="0">
                    <c:v>April</c:v>
                  </c:pt>
                  <c:pt idx="3">
                    <c:v>May</c:v>
                  </c:pt>
                  <c:pt idx="6">
                    <c:v>June</c:v>
                  </c:pt>
                </c:lvl>
              </c:multiLvlStrCache>
            </c:multiLvlStrRef>
          </c:cat>
          <c:val>
            <c:numRef>
              <c:f>'Employee project ass. task'!$AA$5:$AA$13</c:f>
              <c:numCache>
                <c:formatCode>0%</c:formatCode>
                <c:ptCount val="9"/>
                <c:pt idx="0">
                  <c:v>0.4</c:v>
                </c:pt>
                <c:pt idx="1">
                  <c:v>0.6</c:v>
                </c:pt>
                <c:pt idx="2">
                  <c:v>1</c:v>
                </c:pt>
                <c:pt idx="3">
                  <c:v>0.75</c:v>
                </c:pt>
                <c:pt idx="4">
                  <c:v>0.66666666666666663</c:v>
                </c:pt>
                <c:pt idx="5">
                  <c:v>0.6</c:v>
                </c:pt>
                <c:pt idx="6">
                  <c:v>1</c:v>
                </c:pt>
                <c:pt idx="7">
                  <c:v>0.66666666666666663</c:v>
                </c:pt>
                <c:pt idx="8">
                  <c:v>0.75</c:v>
                </c:pt>
              </c:numCache>
            </c:numRef>
          </c:val>
        </c:ser>
        <c:ser>
          <c:idx val="4"/>
          <c:order val="4"/>
          <c:tx>
            <c:strRef>
              <c:f>'Employee project ass. task'!$AB$4</c:f>
              <c:strCache>
                <c:ptCount val="1"/>
                <c:pt idx="0">
                  <c:v>% of work remaining</c:v>
                </c:pt>
              </c:strCache>
            </c:strRef>
          </c:tx>
          <c:marker>
            <c:symbol val="none"/>
          </c:marker>
          <c:cat>
            <c:multiLvlStrRef>
              <c:f>'Employee project ass. task'!$V$5:$W$13</c:f>
              <c:multiLvlStrCache>
                <c:ptCount val="9"/>
                <c:lvl>
                  <c:pt idx="0">
                    <c:v>Analyzing accounting records</c:v>
                  </c:pt>
                  <c:pt idx="1">
                    <c:v>Computing taxes</c:v>
                  </c:pt>
                  <c:pt idx="2">
                    <c:v>Develop Budgets</c:v>
                  </c:pt>
                  <c:pt idx="3">
                    <c:v>Analyzing accounting records</c:v>
                  </c:pt>
                  <c:pt idx="4">
                    <c:v>Computing taxes</c:v>
                  </c:pt>
                  <c:pt idx="5">
                    <c:v>Develop Budgets</c:v>
                  </c:pt>
                  <c:pt idx="6">
                    <c:v>Analyzing accounting records</c:v>
                  </c:pt>
                  <c:pt idx="7">
                    <c:v>Computing taxes</c:v>
                  </c:pt>
                  <c:pt idx="8">
                    <c:v>Develop Budgets</c:v>
                  </c:pt>
                </c:lvl>
                <c:lvl>
                  <c:pt idx="0">
                    <c:v>April</c:v>
                  </c:pt>
                  <c:pt idx="3">
                    <c:v>May</c:v>
                  </c:pt>
                  <c:pt idx="6">
                    <c:v>June</c:v>
                  </c:pt>
                </c:lvl>
              </c:multiLvlStrCache>
            </c:multiLvlStrRef>
          </c:cat>
          <c:val>
            <c:numRef>
              <c:f>'Employee project ass. task'!$AB$5:$AB$13</c:f>
              <c:numCache>
                <c:formatCode>0%</c:formatCode>
                <c:ptCount val="9"/>
                <c:pt idx="0">
                  <c:v>0.6</c:v>
                </c:pt>
                <c:pt idx="1">
                  <c:v>0.4</c:v>
                </c:pt>
                <c:pt idx="2">
                  <c:v>0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</c:v>
                </c:pt>
                <c:pt idx="6">
                  <c:v>0</c:v>
                </c:pt>
                <c:pt idx="7">
                  <c:v>0.33333333333333331</c:v>
                </c:pt>
                <c:pt idx="8">
                  <c:v>0.25</c:v>
                </c:pt>
              </c:numCache>
            </c:numRef>
          </c:val>
        </c:ser>
        <c:dLbls/>
        <c:marker val="1"/>
        <c:axId val="113861376"/>
        <c:axId val="113859200"/>
      </c:lineChart>
      <c:catAx>
        <c:axId val="113843200"/>
        <c:scaling>
          <c:orientation val="minMax"/>
        </c:scaling>
        <c:axPos val="b"/>
        <c:majorTickMark val="none"/>
        <c:tickLblPos val="nextTo"/>
        <c:crossAx val="113857280"/>
        <c:crosses val="autoZero"/>
        <c:auto val="1"/>
        <c:lblAlgn val="ctr"/>
        <c:lblOffset val="100"/>
      </c:catAx>
      <c:valAx>
        <c:axId val="11385728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Project assignment task</a:t>
                </a:r>
              </a:p>
            </c:rich>
          </c:tx>
          <c:layout/>
        </c:title>
        <c:numFmt formatCode="General" sourceLinked="1"/>
        <c:majorTickMark val="none"/>
        <c:tickLblPos val="nextTo"/>
        <c:spPr>
          <a:ln w="9525">
            <a:noFill/>
          </a:ln>
        </c:spPr>
        <c:crossAx val="113843200"/>
        <c:crosses val="autoZero"/>
        <c:crossBetween val="between"/>
      </c:valAx>
      <c:valAx>
        <c:axId val="113859200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of work completed and remaining</a:t>
                </a:r>
              </a:p>
            </c:rich>
          </c:tx>
          <c:layout/>
        </c:title>
        <c:numFmt formatCode="0%" sourceLinked="1"/>
        <c:tickLblPos val="nextTo"/>
        <c:crossAx val="113861376"/>
        <c:crosses val="max"/>
        <c:crossBetween val="between"/>
      </c:valAx>
      <c:catAx>
        <c:axId val="113861376"/>
        <c:scaling>
          <c:orientation val="minMax"/>
        </c:scaling>
        <c:delete val="1"/>
        <c:axPos val="b"/>
        <c:tickLblPos val="nextTo"/>
        <c:crossAx val="113859200"/>
        <c:crosses val="autoZero"/>
        <c:auto val="1"/>
        <c:lblAlgn val="ctr"/>
        <c:lblOffset val="100"/>
      </c:catAx>
    </c:plotArea>
    <c:legend>
      <c:legendPos val="b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 project assignment - "Analyzing accounting record" subtask performance</a:t>
            </a:r>
          </a:p>
        </c:rich>
      </c:tx>
      <c:layout>
        <c:manualLayout>
          <c:xMode val="edge"/>
          <c:yMode val="edge"/>
          <c:x val="6.5498199279711899E-2"/>
          <c:y val="3.7037037037037042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'Project ass. task bifurcation'!$D$3</c:f>
              <c:strCache>
                <c:ptCount val="1"/>
                <c:pt idx="0">
                  <c:v>Allotted</c:v>
                </c:pt>
              </c:strCache>
            </c:strRef>
          </c:tx>
          <c:cat>
            <c:multiLvlStrRef>
              <c:f>'Project ass. task bifurcation'!$B$4:$C$6</c:f>
              <c:multiLvlStrCache>
                <c:ptCount val="3"/>
                <c:lvl>
                  <c:pt idx="0">
                    <c:v>Analyzing accounting records</c:v>
                  </c:pt>
                  <c:pt idx="1">
                    <c:v>Analyzing accounting records</c:v>
                  </c:pt>
                  <c:pt idx="2">
                    <c:v>Analyzing accounting records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bifurcation'!$D$4:$D$6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8</c:v>
                </c:pt>
              </c:numCache>
            </c:numRef>
          </c:val>
        </c:ser>
        <c:ser>
          <c:idx val="1"/>
          <c:order val="1"/>
          <c:tx>
            <c:strRef>
              <c:f>'Project ass. task bifurcation'!$E$3</c:f>
              <c:strCache>
                <c:ptCount val="1"/>
                <c:pt idx="0">
                  <c:v>completed</c:v>
                </c:pt>
              </c:strCache>
            </c:strRef>
          </c:tx>
          <c:cat>
            <c:multiLvlStrRef>
              <c:f>'Project ass. task bifurcation'!$B$4:$C$6</c:f>
              <c:multiLvlStrCache>
                <c:ptCount val="3"/>
                <c:lvl>
                  <c:pt idx="0">
                    <c:v>Analyzing accounting records</c:v>
                  </c:pt>
                  <c:pt idx="1">
                    <c:v>Analyzing accounting records</c:v>
                  </c:pt>
                  <c:pt idx="2">
                    <c:v>Analyzing accounting records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bifurcation'!$E$4:$E$6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</c:ser>
        <c:ser>
          <c:idx val="2"/>
          <c:order val="2"/>
          <c:tx>
            <c:strRef>
              <c:f>'Project ass. task bifurcation'!$F$3</c:f>
              <c:strCache>
                <c:ptCount val="1"/>
                <c:pt idx="0">
                  <c:v>Remaining</c:v>
                </c:pt>
              </c:strCache>
            </c:strRef>
          </c:tx>
          <c:cat>
            <c:multiLvlStrRef>
              <c:f>'Project ass. task bifurcation'!$B$4:$C$6</c:f>
              <c:multiLvlStrCache>
                <c:ptCount val="3"/>
                <c:lvl>
                  <c:pt idx="0">
                    <c:v>Analyzing accounting records</c:v>
                  </c:pt>
                  <c:pt idx="1">
                    <c:v>Analyzing accounting records</c:v>
                  </c:pt>
                  <c:pt idx="2">
                    <c:v>Analyzing accounting records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bifurcation'!$F$4:$F$6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dLbls/>
        <c:axId val="137436160"/>
        <c:axId val="137450240"/>
      </c:barChart>
      <c:lineChart>
        <c:grouping val="standard"/>
        <c:ser>
          <c:idx val="3"/>
          <c:order val="3"/>
          <c:tx>
            <c:strRef>
              <c:f>'Project ass. task bifurcation'!$G$3</c:f>
              <c:strCache>
                <c:ptCount val="1"/>
                <c:pt idx="0">
                  <c:v>% of work completed</c:v>
                </c:pt>
              </c:strCache>
            </c:strRef>
          </c:tx>
          <c:marker>
            <c:symbol val="none"/>
          </c:marker>
          <c:cat>
            <c:multiLvlStrRef>
              <c:f>'Project ass. task bifurcation'!$B$4:$C$6</c:f>
              <c:multiLvlStrCache>
                <c:ptCount val="3"/>
                <c:lvl>
                  <c:pt idx="0">
                    <c:v>Analyzing accounting records</c:v>
                  </c:pt>
                  <c:pt idx="1">
                    <c:v>Analyzing accounting records</c:v>
                  </c:pt>
                  <c:pt idx="2">
                    <c:v>Analyzing accounting records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bifurcation'!$G$4:$G$6</c:f>
              <c:numCache>
                <c:formatCode>0%</c:formatCode>
                <c:ptCount val="3"/>
                <c:pt idx="0">
                  <c:v>0.4</c:v>
                </c:pt>
                <c:pt idx="1">
                  <c:v>0.75</c:v>
                </c:pt>
                <c:pt idx="2">
                  <c:v>1</c:v>
                </c:pt>
              </c:numCache>
            </c:numRef>
          </c:val>
        </c:ser>
        <c:ser>
          <c:idx val="4"/>
          <c:order val="4"/>
          <c:tx>
            <c:strRef>
              <c:f>'Project ass. task bifurcation'!$H$3</c:f>
              <c:strCache>
                <c:ptCount val="1"/>
                <c:pt idx="0">
                  <c:v>% of work remaining</c:v>
                </c:pt>
              </c:strCache>
            </c:strRef>
          </c:tx>
          <c:marker>
            <c:symbol val="none"/>
          </c:marker>
          <c:cat>
            <c:multiLvlStrRef>
              <c:f>'Project ass. task bifurcation'!$B$4:$C$6</c:f>
              <c:multiLvlStrCache>
                <c:ptCount val="3"/>
                <c:lvl>
                  <c:pt idx="0">
                    <c:v>Analyzing accounting records</c:v>
                  </c:pt>
                  <c:pt idx="1">
                    <c:v>Analyzing accounting records</c:v>
                  </c:pt>
                  <c:pt idx="2">
                    <c:v>Analyzing accounting records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bifurcation'!$H$4:$H$6</c:f>
              <c:numCache>
                <c:formatCode>0%</c:formatCode>
                <c:ptCount val="3"/>
                <c:pt idx="0">
                  <c:v>0.6</c:v>
                </c:pt>
                <c:pt idx="1">
                  <c:v>0.25</c:v>
                </c:pt>
                <c:pt idx="2">
                  <c:v>0</c:v>
                </c:pt>
              </c:numCache>
            </c:numRef>
          </c:val>
        </c:ser>
        <c:dLbls/>
        <c:marker val="1"/>
        <c:axId val="137454336"/>
        <c:axId val="137452160"/>
      </c:lineChart>
      <c:catAx>
        <c:axId val="137436160"/>
        <c:scaling>
          <c:orientation val="minMax"/>
        </c:scaling>
        <c:axPos val="b"/>
        <c:tickLblPos val="nextTo"/>
        <c:crossAx val="137450240"/>
        <c:crosses val="autoZero"/>
        <c:auto val="1"/>
        <c:lblAlgn val="ctr"/>
        <c:lblOffset val="100"/>
      </c:catAx>
      <c:valAx>
        <c:axId val="13745024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Prroject Assignment task</a:t>
                </a:r>
              </a:p>
            </c:rich>
          </c:tx>
          <c:layout/>
        </c:title>
        <c:numFmt formatCode="General" sourceLinked="1"/>
        <c:tickLblPos val="nextTo"/>
        <c:crossAx val="137436160"/>
        <c:crosses val="autoZero"/>
        <c:crossBetween val="between"/>
      </c:valAx>
      <c:valAx>
        <c:axId val="137452160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of work completed and remaining</a:t>
                </a:r>
              </a:p>
            </c:rich>
          </c:tx>
          <c:layout/>
        </c:title>
        <c:numFmt formatCode="0%" sourceLinked="1"/>
        <c:tickLblPos val="nextTo"/>
        <c:crossAx val="137454336"/>
        <c:crosses val="max"/>
        <c:crossBetween val="between"/>
      </c:valAx>
      <c:catAx>
        <c:axId val="137454336"/>
        <c:scaling>
          <c:orientation val="minMax"/>
        </c:scaling>
        <c:delete val="1"/>
        <c:axPos val="b"/>
        <c:tickLblPos val="nextTo"/>
        <c:crossAx val="137452160"/>
        <c:crosses val="autoZero"/>
        <c:auto val="1"/>
        <c:lblAlgn val="ctr"/>
        <c:lblOffset val="100"/>
      </c:cat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 project assignment - "Computing taxes" subtask performance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'Project ass. task bifurcation'!$D$24</c:f>
              <c:strCache>
                <c:ptCount val="1"/>
                <c:pt idx="0">
                  <c:v>Allotted</c:v>
                </c:pt>
              </c:strCache>
            </c:strRef>
          </c:tx>
          <c:cat>
            <c:multiLvlStrRef>
              <c:f>'Project ass. task bifurcation'!$B$25:$C$27</c:f>
              <c:multiLvlStrCache>
                <c:ptCount val="3"/>
                <c:lvl>
                  <c:pt idx="0">
                    <c:v>Computing taxes</c:v>
                  </c:pt>
                  <c:pt idx="1">
                    <c:v>Computing taxes</c:v>
                  </c:pt>
                  <c:pt idx="2">
                    <c:v>Computing taxes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bifurcation'!$D$25:$D$27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9</c:v>
                </c:pt>
              </c:numCache>
            </c:numRef>
          </c:val>
        </c:ser>
        <c:ser>
          <c:idx val="1"/>
          <c:order val="1"/>
          <c:tx>
            <c:strRef>
              <c:f>'Project ass. task bifurcation'!$E$24</c:f>
              <c:strCache>
                <c:ptCount val="1"/>
                <c:pt idx="0">
                  <c:v>completed</c:v>
                </c:pt>
              </c:strCache>
            </c:strRef>
          </c:tx>
          <c:cat>
            <c:multiLvlStrRef>
              <c:f>'Project ass. task bifurcation'!$B$25:$C$27</c:f>
              <c:multiLvlStrCache>
                <c:ptCount val="3"/>
                <c:lvl>
                  <c:pt idx="0">
                    <c:v>Computing taxes</c:v>
                  </c:pt>
                  <c:pt idx="1">
                    <c:v>Computing taxes</c:v>
                  </c:pt>
                  <c:pt idx="2">
                    <c:v>Computing taxes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bifurcation'!$E$25:$E$27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6</c:v>
                </c:pt>
              </c:numCache>
            </c:numRef>
          </c:val>
        </c:ser>
        <c:ser>
          <c:idx val="2"/>
          <c:order val="2"/>
          <c:tx>
            <c:strRef>
              <c:f>'Project ass. task bifurcation'!$F$24</c:f>
              <c:strCache>
                <c:ptCount val="1"/>
                <c:pt idx="0">
                  <c:v>Remaining</c:v>
                </c:pt>
              </c:strCache>
            </c:strRef>
          </c:tx>
          <c:cat>
            <c:multiLvlStrRef>
              <c:f>'Project ass. task bifurcation'!$B$25:$C$27</c:f>
              <c:multiLvlStrCache>
                <c:ptCount val="3"/>
                <c:lvl>
                  <c:pt idx="0">
                    <c:v>Computing taxes</c:v>
                  </c:pt>
                  <c:pt idx="1">
                    <c:v>Computing taxes</c:v>
                  </c:pt>
                  <c:pt idx="2">
                    <c:v>Computing taxes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bifurcation'!$F$25:$F$27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dLbls/>
        <c:axId val="137579136"/>
        <c:axId val="137593216"/>
      </c:barChart>
      <c:lineChart>
        <c:grouping val="standard"/>
        <c:ser>
          <c:idx val="3"/>
          <c:order val="3"/>
          <c:tx>
            <c:strRef>
              <c:f>'Project ass. task bifurcation'!$G$24</c:f>
              <c:strCache>
                <c:ptCount val="1"/>
                <c:pt idx="0">
                  <c:v>% of work completed</c:v>
                </c:pt>
              </c:strCache>
            </c:strRef>
          </c:tx>
          <c:marker>
            <c:symbol val="none"/>
          </c:marker>
          <c:cat>
            <c:multiLvlStrRef>
              <c:f>'Project ass. task bifurcation'!$B$25:$C$27</c:f>
              <c:multiLvlStrCache>
                <c:ptCount val="3"/>
                <c:lvl>
                  <c:pt idx="0">
                    <c:v>Computing taxes</c:v>
                  </c:pt>
                  <c:pt idx="1">
                    <c:v>Computing taxes</c:v>
                  </c:pt>
                  <c:pt idx="2">
                    <c:v>Computing taxes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bifurcation'!$G$25:$G$27</c:f>
              <c:numCache>
                <c:formatCode>0%</c:formatCode>
                <c:ptCount val="3"/>
                <c:pt idx="0">
                  <c:v>0.6</c:v>
                </c:pt>
                <c:pt idx="1">
                  <c:v>0.66666666666666663</c:v>
                </c:pt>
                <c:pt idx="2">
                  <c:v>0.66666666666666663</c:v>
                </c:pt>
              </c:numCache>
            </c:numRef>
          </c:val>
        </c:ser>
        <c:ser>
          <c:idx val="4"/>
          <c:order val="4"/>
          <c:tx>
            <c:strRef>
              <c:f>'Project ass. task bifurcation'!$H$24</c:f>
              <c:strCache>
                <c:ptCount val="1"/>
                <c:pt idx="0">
                  <c:v>% of work remaining</c:v>
                </c:pt>
              </c:strCache>
            </c:strRef>
          </c:tx>
          <c:marker>
            <c:symbol val="none"/>
          </c:marker>
          <c:cat>
            <c:multiLvlStrRef>
              <c:f>'Project ass. task bifurcation'!$B$25:$C$27</c:f>
              <c:multiLvlStrCache>
                <c:ptCount val="3"/>
                <c:lvl>
                  <c:pt idx="0">
                    <c:v>Computing taxes</c:v>
                  </c:pt>
                  <c:pt idx="1">
                    <c:v>Computing taxes</c:v>
                  </c:pt>
                  <c:pt idx="2">
                    <c:v>Computing taxes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bifurcation'!$H$25:$H$27</c:f>
              <c:numCache>
                <c:formatCode>0%</c:formatCode>
                <c:ptCount val="3"/>
                <c:pt idx="0">
                  <c:v>0.4</c:v>
                </c:pt>
                <c:pt idx="1">
                  <c:v>0.33333333333333331</c:v>
                </c:pt>
                <c:pt idx="2">
                  <c:v>0.33333333333333331</c:v>
                </c:pt>
              </c:numCache>
            </c:numRef>
          </c:val>
        </c:ser>
        <c:dLbls/>
        <c:marker val="1"/>
        <c:axId val="137601408"/>
        <c:axId val="137595136"/>
      </c:lineChart>
      <c:catAx>
        <c:axId val="137579136"/>
        <c:scaling>
          <c:orientation val="minMax"/>
        </c:scaling>
        <c:axPos val="b"/>
        <c:tickLblPos val="nextTo"/>
        <c:crossAx val="137593216"/>
        <c:crosses val="autoZero"/>
        <c:auto val="1"/>
        <c:lblAlgn val="ctr"/>
        <c:lblOffset val="100"/>
      </c:catAx>
      <c:valAx>
        <c:axId val="13759321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Project Assignment task</a:t>
                </a:r>
              </a:p>
            </c:rich>
          </c:tx>
          <c:layout/>
        </c:title>
        <c:numFmt formatCode="General" sourceLinked="1"/>
        <c:tickLblPos val="nextTo"/>
        <c:crossAx val="137579136"/>
        <c:crosses val="autoZero"/>
        <c:crossBetween val="between"/>
      </c:valAx>
      <c:valAx>
        <c:axId val="137595136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of work completed and remaining</a:t>
                </a:r>
              </a:p>
            </c:rich>
          </c:tx>
          <c:layout/>
        </c:title>
        <c:numFmt formatCode="0%" sourceLinked="1"/>
        <c:tickLblPos val="nextTo"/>
        <c:crossAx val="137601408"/>
        <c:crosses val="max"/>
        <c:crossBetween val="between"/>
      </c:valAx>
      <c:catAx>
        <c:axId val="137601408"/>
        <c:scaling>
          <c:orientation val="minMax"/>
        </c:scaling>
        <c:delete val="1"/>
        <c:axPos val="b"/>
        <c:tickLblPos val="nextTo"/>
        <c:crossAx val="137595136"/>
        <c:crosses val="autoZero"/>
        <c:auto val="1"/>
        <c:lblAlgn val="ctr"/>
        <c:lblOffset val="100"/>
      </c:cat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 project assignment - "Develop Budgets" subtask performance  </a:t>
            </a:r>
          </a:p>
        </c:rich>
      </c:tx>
      <c:layout>
        <c:manualLayout>
          <c:xMode val="edge"/>
          <c:yMode val="edge"/>
          <c:x val="5.8291607077299051E-2"/>
          <c:y val="3.7037037037037042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'Project ass. task bifurcation'!$D$45</c:f>
              <c:strCache>
                <c:ptCount val="1"/>
                <c:pt idx="0">
                  <c:v>Allotted</c:v>
                </c:pt>
              </c:strCache>
            </c:strRef>
          </c:tx>
          <c:cat>
            <c:multiLvlStrRef>
              <c:f>'Project ass. task bifurcation'!$B$46:$C$48</c:f>
              <c:multiLvlStrCache>
                <c:ptCount val="3"/>
                <c:lvl>
                  <c:pt idx="0">
                    <c:v>Develop Budgets</c:v>
                  </c:pt>
                  <c:pt idx="1">
                    <c:v>Develop Budgets</c:v>
                  </c:pt>
                  <c:pt idx="2">
                    <c:v>Develop Budgets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bifurcation'!$D$46:$D$48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8</c:v>
                </c:pt>
              </c:numCache>
            </c:numRef>
          </c:val>
        </c:ser>
        <c:ser>
          <c:idx val="1"/>
          <c:order val="1"/>
          <c:tx>
            <c:strRef>
              <c:f>'Project ass. task bifurcation'!$E$45</c:f>
              <c:strCache>
                <c:ptCount val="1"/>
                <c:pt idx="0">
                  <c:v>completed</c:v>
                </c:pt>
              </c:strCache>
            </c:strRef>
          </c:tx>
          <c:cat>
            <c:multiLvlStrRef>
              <c:f>'Project ass. task bifurcation'!$B$46:$C$48</c:f>
              <c:multiLvlStrCache>
                <c:ptCount val="3"/>
                <c:lvl>
                  <c:pt idx="0">
                    <c:v>Develop Budgets</c:v>
                  </c:pt>
                  <c:pt idx="1">
                    <c:v>Develop Budgets</c:v>
                  </c:pt>
                  <c:pt idx="2">
                    <c:v>Develop Budgets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bifurcation'!$E$46:$E$48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6</c:v>
                </c:pt>
              </c:numCache>
            </c:numRef>
          </c:val>
        </c:ser>
        <c:ser>
          <c:idx val="2"/>
          <c:order val="2"/>
          <c:tx>
            <c:strRef>
              <c:f>'Project ass. task bifurcation'!$F$45</c:f>
              <c:strCache>
                <c:ptCount val="1"/>
                <c:pt idx="0">
                  <c:v>Remaining</c:v>
                </c:pt>
              </c:strCache>
            </c:strRef>
          </c:tx>
          <c:cat>
            <c:multiLvlStrRef>
              <c:f>'Project ass. task bifurcation'!$B$46:$C$48</c:f>
              <c:multiLvlStrCache>
                <c:ptCount val="3"/>
                <c:lvl>
                  <c:pt idx="0">
                    <c:v>Develop Budgets</c:v>
                  </c:pt>
                  <c:pt idx="1">
                    <c:v>Develop Budgets</c:v>
                  </c:pt>
                  <c:pt idx="2">
                    <c:v>Develop Budgets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bifurcation'!$F$46:$F$48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dLbls/>
        <c:axId val="137652480"/>
        <c:axId val="137662464"/>
      </c:barChart>
      <c:lineChart>
        <c:grouping val="standard"/>
        <c:ser>
          <c:idx val="3"/>
          <c:order val="3"/>
          <c:tx>
            <c:strRef>
              <c:f>'Project ass. task bifurcation'!$G$45</c:f>
              <c:strCache>
                <c:ptCount val="1"/>
                <c:pt idx="0">
                  <c:v>% of work completed</c:v>
                </c:pt>
              </c:strCache>
            </c:strRef>
          </c:tx>
          <c:marker>
            <c:symbol val="none"/>
          </c:marker>
          <c:cat>
            <c:multiLvlStrRef>
              <c:f>'Project ass. task bifurcation'!$B$46:$C$48</c:f>
              <c:multiLvlStrCache>
                <c:ptCount val="3"/>
                <c:lvl>
                  <c:pt idx="0">
                    <c:v>Develop Budgets</c:v>
                  </c:pt>
                  <c:pt idx="1">
                    <c:v>Develop Budgets</c:v>
                  </c:pt>
                  <c:pt idx="2">
                    <c:v>Develop Budgets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bifurcation'!$G$46:$G$48</c:f>
              <c:numCache>
                <c:formatCode>0%</c:formatCode>
                <c:ptCount val="3"/>
                <c:pt idx="0">
                  <c:v>1</c:v>
                </c:pt>
                <c:pt idx="1">
                  <c:v>0.6</c:v>
                </c:pt>
                <c:pt idx="2">
                  <c:v>0.75</c:v>
                </c:pt>
              </c:numCache>
            </c:numRef>
          </c:val>
        </c:ser>
        <c:ser>
          <c:idx val="4"/>
          <c:order val="4"/>
          <c:tx>
            <c:strRef>
              <c:f>'Project ass. task bifurcation'!$H$45</c:f>
              <c:strCache>
                <c:ptCount val="1"/>
                <c:pt idx="0">
                  <c:v>% of work remaining</c:v>
                </c:pt>
              </c:strCache>
            </c:strRef>
          </c:tx>
          <c:marker>
            <c:symbol val="none"/>
          </c:marker>
          <c:cat>
            <c:multiLvlStrRef>
              <c:f>'Project ass. task bifurcation'!$B$46:$C$48</c:f>
              <c:multiLvlStrCache>
                <c:ptCount val="3"/>
                <c:lvl>
                  <c:pt idx="0">
                    <c:v>Develop Budgets</c:v>
                  </c:pt>
                  <c:pt idx="1">
                    <c:v>Develop Budgets</c:v>
                  </c:pt>
                  <c:pt idx="2">
                    <c:v>Develop Budgets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'Project ass. task bifurcation'!$H$46:$H$48</c:f>
              <c:numCache>
                <c:formatCode>0%</c:formatCode>
                <c:ptCount val="3"/>
                <c:pt idx="0">
                  <c:v>0</c:v>
                </c:pt>
                <c:pt idx="1">
                  <c:v>0.4</c:v>
                </c:pt>
                <c:pt idx="2">
                  <c:v>0.25</c:v>
                </c:pt>
              </c:numCache>
            </c:numRef>
          </c:val>
        </c:ser>
        <c:dLbls/>
        <c:marker val="1"/>
        <c:axId val="137674752"/>
        <c:axId val="137664384"/>
      </c:lineChart>
      <c:catAx>
        <c:axId val="137652480"/>
        <c:scaling>
          <c:orientation val="minMax"/>
        </c:scaling>
        <c:axPos val="b"/>
        <c:tickLblPos val="nextTo"/>
        <c:crossAx val="137662464"/>
        <c:crosses val="autoZero"/>
        <c:auto val="1"/>
        <c:lblAlgn val="ctr"/>
        <c:lblOffset val="100"/>
      </c:catAx>
      <c:valAx>
        <c:axId val="13766246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project assignment task</a:t>
                </a:r>
              </a:p>
            </c:rich>
          </c:tx>
          <c:layout/>
        </c:title>
        <c:numFmt formatCode="General" sourceLinked="1"/>
        <c:tickLblPos val="nextTo"/>
        <c:crossAx val="137652480"/>
        <c:crosses val="autoZero"/>
        <c:crossBetween val="between"/>
      </c:valAx>
      <c:valAx>
        <c:axId val="13766438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of work completed and remaining</a:t>
                </a:r>
              </a:p>
            </c:rich>
          </c:tx>
          <c:layout/>
        </c:title>
        <c:numFmt formatCode="0%" sourceLinked="1"/>
        <c:tickLblPos val="nextTo"/>
        <c:crossAx val="137674752"/>
        <c:crosses val="max"/>
        <c:crossBetween val="between"/>
      </c:valAx>
      <c:catAx>
        <c:axId val="137674752"/>
        <c:scaling>
          <c:orientation val="minMax"/>
        </c:scaling>
        <c:delete val="1"/>
        <c:axPos val="b"/>
        <c:tickLblPos val="nextTo"/>
        <c:crossAx val="137664384"/>
        <c:crosses val="autoZero"/>
        <c:auto val="1"/>
        <c:lblAlgn val="ctr"/>
        <c:lblOffset val="100"/>
      </c:cat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 Leave Details - Leave type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'Employee Leave Detail'!$D$4</c:f>
              <c:strCache>
                <c:ptCount val="1"/>
                <c:pt idx="0">
                  <c:v>No. of leave taken</c:v>
                </c:pt>
              </c:strCache>
            </c:strRef>
          </c:tx>
          <c:cat>
            <c:multiLvlStrRef>
              <c:f>'Employee Leave Detail'!$B$5:$C$16</c:f>
              <c:multiLvlStrCache>
                <c:ptCount val="12"/>
                <c:lvl>
                  <c:pt idx="0">
                    <c:v>Casual Leave</c:v>
                  </c:pt>
                  <c:pt idx="1">
                    <c:v>Sick Leave</c:v>
                  </c:pt>
                  <c:pt idx="2">
                    <c:v>Parental Leave</c:v>
                  </c:pt>
                  <c:pt idx="3">
                    <c:v>Compensatory off</c:v>
                  </c:pt>
                  <c:pt idx="4">
                    <c:v>Casual Leave</c:v>
                  </c:pt>
                  <c:pt idx="5">
                    <c:v>Sick Leave</c:v>
                  </c:pt>
                  <c:pt idx="6">
                    <c:v>Parental Leave</c:v>
                  </c:pt>
                  <c:pt idx="7">
                    <c:v>Compensatory off</c:v>
                  </c:pt>
                  <c:pt idx="8">
                    <c:v>Casual Leave</c:v>
                  </c:pt>
                  <c:pt idx="9">
                    <c:v>Sick Leave</c:v>
                  </c:pt>
                  <c:pt idx="10">
                    <c:v>Parental Leave</c:v>
                  </c:pt>
                  <c:pt idx="11">
                    <c:v>Compensatory off</c:v>
                  </c:pt>
                </c:lvl>
                <c:lvl>
                  <c:pt idx="0">
                    <c:v>April</c:v>
                  </c:pt>
                  <c:pt idx="4">
                    <c:v>May</c:v>
                  </c:pt>
                  <c:pt idx="8">
                    <c:v>June</c:v>
                  </c:pt>
                </c:lvl>
              </c:multiLvlStrCache>
            </c:multiLvlStrRef>
          </c:cat>
          <c:val>
            <c:numRef>
              <c:f>'Employee Leave Detail'!$D$5:$D$16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</c:ser>
        <c:dLbls/>
        <c:gapWidth val="75"/>
        <c:overlap val="-25"/>
        <c:axId val="137833088"/>
        <c:axId val="137851264"/>
      </c:barChart>
      <c:lineChart>
        <c:grouping val="standard"/>
        <c:ser>
          <c:idx val="1"/>
          <c:order val="1"/>
          <c:tx>
            <c:strRef>
              <c:f>'Employee Leave Detail'!$E$4</c:f>
              <c:strCache>
                <c:ptCount val="1"/>
                <c:pt idx="0">
                  <c:v>Ratio of no. of leave taken to total leave</c:v>
                </c:pt>
              </c:strCache>
            </c:strRef>
          </c:tx>
          <c:marker>
            <c:symbol val="none"/>
          </c:marker>
          <c:cat>
            <c:multiLvlStrRef>
              <c:f>'Employee Leave Detail'!$B$5:$C$16</c:f>
              <c:multiLvlStrCache>
                <c:ptCount val="12"/>
                <c:lvl>
                  <c:pt idx="0">
                    <c:v>Casual Leave</c:v>
                  </c:pt>
                  <c:pt idx="1">
                    <c:v>Sick Leave</c:v>
                  </c:pt>
                  <c:pt idx="2">
                    <c:v>Parental Leave</c:v>
                  </c:pt>
                  <c:pt idx="3">
                    <c:v>Compensatory off</c:v>
                  </c:pt>
                  <c:pt idx="4">
                    <c:v>Casual Leave</c:v>
                  </c:pt>
                  <c:pt idx="5">
                    <c:v>Sick Leave</c:v>
                  </c:pt>
                  <c:pt idx="6">
                    <c:v>Parental Leave</c:v>
                  </c:pt>
                  <c:pt idx="7">
                    <c:v>Compensatory off</c:v>
                  </c:pt>
                  <c:pt idx="8">
                    <c:v>Casual Leave</c:v>
                  </c:pt>
                  <c:pt idx="9">
                    <c:v>Sick Leave</c:v>
                  </c:pt>
                  <c:pt idx="10">
                    <c:v>Parental Leave</c:v>
                  </c:pt>
                  <c:pt idx="11">
                    <c:v>Compensatory off</c:v>
                  </c:pt>
                </c:lvl>
                <c:lvl>
                  <c:pt idx="0">
                    <c:v>April</c:v>
                  </c:pt>
                  <c:pt idx="4">
                    <c:v>May</c:v>
                  </c:pt>
                  <c:pt idx="8">
                    <c:v>June</c:v>
                  </c:pt>
                </c:lvl>
              </c:multiLvlStrCache>
            </c:multiLvlStrRef>
          </c:cat>
          <c:val>
            <c:numRef>
              <c:f>'Employee Leave Detail'!$E$5:$E$16</c:f>
              <c:numCache>
                <c:formatCode>0%</c:formatCode>
                <c:ptCount val="12"/>
                <c:pt idx="0">
                  <c:v>0.15789473684210525</c:v>
                </c:pt>
                <c:pt idx="1">
                  <c:v>0.21052631578947367</c:v>
                </c:pt>
                <c:pt idx="2">
                  <c:v>0</c:v>
                </c:pt>
                <c:pt idx="3">
                  <c:v>0.10526315789473684</c:v>
                </c:pt>
                <c:pt idx="4">
                  <c:v>5.2631578947368418E-2</c:v>
                </c:pt>
                <c:pt idx="5">
                  <c:v>0.10526315789473684</c:v>
                </c:pt>
                <c:pt idx="6">
                  <c:v>0</c:v>
                </c:pt>
                <c:pt idx="7">
                  <c:v>0.10526315789473684</c:v>
                </c:pt>
                <c:pt idx="8">
                  <c:v>0.10526315789473684</c:v>
                </c:pt>
                <c:pt idx="9">
                  <c:v>0</c:v>
                </c:pt>
                <c:pt idx="10">
                  <c:v>0</c:v>
                </c:pt>
                <c:pt idx="11">
                  <c:v>0.15789473684210525</c:v>
                </c:pt>
              </c:numCache>
            </c:numRef>
          </c:val>
        </c:ser>
        <c:dLbls/>
        <c:marker val="1"/>
        <c:axId val="137855360"/>
        <c:axId val="137853184"/>
      </c:lineChart>
      <c:catAx>
        <c:axId val="137833088"/>
        <c:scaling>
          <c:orientation val="minMax"/>
        </c:scaling>
        <c:axPos val="b"/>
        <c:majorTickMark val="none"/>
        <c:tickLblPos val="nextTo"/>
        <c:crossAx val="137851264"/>
        <c:crosses val="autoZero"/>
        <c:auto val="1"/>
        <c:lblAlgn val="ctr"/>
        <c:lblOffset val="100"/>
      </c:catAx>
      <c:valAx>
        <c:axId val="13785126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leaves</a:t>
                </a:r>
              </a:p>
            </c:rich>
          </c:tx>
          <c:layout/>
        </c:title>
        <c:numFmt formatCode="General" sourceLinked="1"/>
        <c:majorTickMark val="none"/>
        <c:tickLblPos val="nextTo"/>
        <c:spPr>
          <a:ln w="9525">
            <a:noFill/>
          </a:ln>
        </c:spPr>
        <c:crossAx val="137833088"/>
        <c:crosses val="autoZero"/>
        <c:crossBetween val="between"/>
      </c:valAx>
      <c:valAx>
        <c:axId val="13785318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 of leave taken to total</a:t>
                </a:r>
              </a:p>
            </c:rich>
          </c:tx>
          <c:layout/>
        </c:title>
        <c:numFmt formatCode="0%" sourceLinked="1"/>
        <c:tickLblPos val="nextTo"/>
        <c:crossAx val="137855360"/>
        <c:crosses val="max"/>
        <c:crossBetween val="between"/>
      </c:valAx>
      <c:catAx>
        <c:axId val="137855360"/>
        <c:scaling>
          <c:orientation val="minMax"/>
        </c:scaling>
        <c:delete val="1"/>
        <c:axPos val="b"/>
        <c:tickLblPos val="nextTo"/>
        <c:crossAx val="137853184"/>
        <c:crosses val="autoZero"/>
        <c:auto val="1"/>
        <c:lblAlgn val="ctr"/>
        <c:lblOffset val="100"/>
      </c:catAx>
    </c:plotArea>
    <c:legend>
      <c:legendPos val="b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Employee total leave taken - Quarterly</a:t>
            </a:r>
          </a:p>
        </c:rich>
      </c:tx>
      <c:layout>
        <c:manualLayout>
          <c:xMode val="edge"/>
          <c:yMode val="edge"/>
          <c:x val="0.21014090761313445"/>
          <c:y val="3.7037037037037042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'Employee Leave Detail'!$C$19</c:f>
              <c:strCache>
                <c:ptCount val="1"/>
                <c:pt idx="0">
                  <c:v>No. of leave taken</c:v>
                </c:pt>
              </c:strCache>
            </c:strRef>
          </c:tx>
          <c:cat>
            <c:strRef>
              <c:f>'Employee Leave Detail'!$B$20:$B$22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'Employee Leave Detail'!$C$20:$C$22</c:f>
              <c:numCache>
                <c:formatCode>General</c:formatCode>
                <c:ptCount val="3"/>
                <c:pt idx="0">
                  <c:v>9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</c:ser>
        <c:dLbls/>
        <c:axId val="137759360"/>
        <c:axId val="137773440"/>
      </c:barChart>
      <c:lineChart>
        <c:grouping val="standard"/>
        <c:ser>
          <c:idx val="1"/>
          <c:order val="1"/>
          <c:tx>
            <c:strRef>
              <c:f>'Employee Leave Detail'!$D$19</c:f>
              <c:strCache>
                <c:ptCount val="1"/>
                <c:pt idx="0">
                  <c:v>Ratio of no. of leave taken to total leave</c:v>
                </c:pt>
              </c:strCache>
            </c:strRef>
          </c:tx>
          <c:marker>
            <c:symbol val="none"/>
          </c:marker>
          <c:cat>
            <c:strRef>
              <c:f>'Employee Leave Detail'!$B$20:$B$22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'Employee Leave Detail'!$D$20:$D$22</c:f>
              <c:numCache>
                <c:formatCode>0%</c:formatCode>
                <c:ptCount val="3"/>
                <c:pt idx="0">
                  <c:v>0.47368421052631576</c:v>
                </c:pt>
                <c:pt idx="1">
                  <c:v>0.26315789473684209</c:v>
                </c:pt>
                <c:pt idx="2">
                  <c:v>0.26315789473684209</c:v>
                </c:pt>
              </c:numCache>
            </c:numRef>
          </c:val>
        </c:ser>
        <c:dLbls/>
        <c:marker val="1"/>
        <c:axId val="137777536"/>
        <c:axId val="137775360"/>
      </c:lineChart>
      <c:catAx>
        <c:axId val="137759360"/>
        <c:scaling>
          <c:orientation val="minMax"/>
        </c:scaling>
        <c:axPos val="b"/>
        <c:tickLblPos val="nextTo"/>
        <c:crossAx val="137773440"/>
        <c:crosses val="autoZero"/>
        <c:auto val="1"/>
        <c:lblAlgn val="ctr"/>
        <c:lblOffset val="100"/>
      </c:catAx>
      <c:valAx>
        <c:axId val="13777344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leaves</a:t>
                </a:r>
              </a:p>
            </c:rich>
          </c:tx>
          <c:layout/>
        </c:title>
        <c:numFmt formatCode="General" sourceLinked="1"/>
        <c:tickLblPos val="nextTo"/>
        <c:crossAx val="137759360"/>
        <c:crosses val="autoZero"/>
        <c:crossBetween val="between"/>
      </c:valAx>
      <c:valAx>
        <c:axId val="137775360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 of leave taken total leave</a:t>
                </a:r>
              </a:p>
            </c:rich>
          </c:tx>
          <c:layout/>
        </c:title>
        <c:numFmt formatCode="0%" sourceLinked="1"/>
        <c:tickLblPos val="nextTo"/>
        <c:crossAx val="137777536"/>
        <c:crosses val="max"/>
        <c:crossBetween val="between"/>
      </c:valAx>
      <c:catAx>
        <c:axId val="137777536"/>
        <c:scaling>
          <c:orientation val="minMax"/>
        </c:scaling>
        <c:delete val="1"/>
        <c:axPos val="b"/>
        <c:tickLblPos val="nextTo"/>
        <c:crossAx val="137775360"/>
        <c:crosses val="autoZero"/>
        <c:auto val="1"/>
        <c:lblAlgn val="ctr"/>
        <c:lblOffset val="100"/>
      </c:cat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33</xdr:row>
      <xdr:rowOff>133350</xdr:rowOff>
    </xdr:from>
    <xdr:to>
      <xdr:col>6</xdr:col>
      <xdr:colOff>504824</xdr:colOff>
      <xdr:row>48</xdr:row>
      <xdr:rowOff>19050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54</xdr:row>
      <xdr:rowOff>19050</xdr:rowOff>
    </xdr:from>
    <xdr:to>
      <xdr:col>6</xdr:col>
      <xdr:colOff>581024</xdr:colOff>
      <xdr:row>68</xdr:row>
      <xdr:rowOff>95250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10</xdr:row>
      <xdr:rowOff>161925</xdr:rowOff>
    </xdr:from>
    <xdr:to>
      <xdr:col>5</xdr:col>
      <xdr:colOff>1419224</xdr:colOff>
      <xdr:row>25</xdr:row>
      <xdr:rowOff>47625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20</xdr:row>
      <xdr:rowOff>142875</xdr:rowOff>
    </xdr:from>
    <xdr:to>
      <xdr:col>12</xdr:col>
      <xdr:colOff>28575</xdr:colOff>
      <xdr:row>35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228599</xdr:colOff>
      <xdr:row>1</xdr:row>
      <xdr:rowOff>114300</xdr:rowOff>
    </xdr:from>
    <xdr:to>
      <xdr:col>17</xdr:col>
      <xdr:colOff>466724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238124</xdr:colOff>
      <xdr:row>19</xdr:row>
      <xdr:rowOff>161925</xdr:rowOff>
    </xdr:from>
    <xdr:to>
      <xdr:col>17</xdr:col>
      <xdr:colOff>533399</xdr:colOff>
      <xdr:row>34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561975</xdr:colOff>
      <xdr:row>20</xdr:row>
      <xdr:rowOff>0</xdr:rowOff>
    </xdr:from>
    <xdr:to>
      <xdr:col>8</xdr:col>
      <xdr:colOff>257175</xdr:colOff>
      <xdr:row>34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16</xdr:row>
      <xdr:rowOff>28574</xdr:rowOff>
    </xdr:from>
    <xdr:to>
      <xdr:col>6</xdr:col>
      <xdr:colOff>1381125</xdr:colOff>
      <xdr:row>33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28</xdr:row>
      <xdr:rowOff>9525</xdr:rowOff>
    </xdr:from>
    <xdr:to>
      <xdr:col>7</xdr:col>
      <xdr:colOff>19050</xdr:colOff>
      <xdr:row>42</xdr:row>
      <xdr:rowOff>85725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7</xdr:row>
      <xdr:rowOff>152400</xdr:rowOff>
    </xdr:from>
    <xdr:to>
      <xdr:col>6</xdr:col>
      <xdr:colOff>1419224</xdr:colOff>
      <xdr:row>22</xdr:row>
      <xdr:rowOff>38100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14</xdr:row>
      <xdr:rowOff>28575</xdr:rowOff>
    </xdr:from>
    <xdr:to>
      <xdr:col>28</xdr:col>
      <xdr:colOff>0</xdr:colOff>
      <xdr:row>29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581024</xdr:colOff>
      <xdr:row>7</xdr:row>
      <xdr:rowOff>9525</xdr:rowOff>
    </xdr:from>
    <xdr:to>
      <xdr:col>13</xdr:col>
      <xdr:colOff>590549</xdr:colOff>
      <xdr:row>21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13</xdr:col>
      <xdr:colOff>590550</xdr:colOff>
      <xdr:row>42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49</xdr:row>
      <xdr:rowOff>0</xdr:rowOff>
    </xdr:from>
    <xdr:to>
      <xdr:col>14</xdr:col>
      <xdr:colOff>9525</xdr:colOff>
      <xdr:row>63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2</xdr:row>
      <xdr:rowOff>1</xdr:rowOff>
    </xdr:from>
    <xdr:to>
      <xdr:col>13</xdr:col>
      <xdr:colOff>323850</xdr:colOff>
      <xdr:row>19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419100</xdr:colOff>
      <xdr:row>19</xdr:row>
      <xdr:rowOff>180975</xdr:rowOff>
    </xdr:from>
    <xdr:to>
      <xdr:col>13</xdr:col>
      <xdr:colOff>323850</xdr:colOff>
      <xdr:row>34</xdr:row>
      <xdr:rowOff>66675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7:F8" totalsRowShown="0">
  <autoFilter ref="B7:F8"/>
  <tableColumns count="5">
    <tableColumn id="1" name="Month"/>
    <tableColumn id="2" name="Enquiry received"/>
    <tableColumn id="3" name="Enquiry converted"/>
    <tableColumn id="4" name="Difference"/>
    <tableColumn id="5" name="Win rate" dataDxfId="5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B50:G53" totalsRowShown="0" headerRowDxfId="56" dataDxfId="54" headerRowBorderDxfId="55" tableBorderDxfId="53">
  <autoFilter ref="B50:G53"/>
  <tableColumns count="6">
    <tableColumn id="1" name="Month" dataDxfId="52"/>
    <tableColumn id="2" name="Project Assignment Alloted" dataDxfId="51"/>
    <tableColumn id="3" name="Completed Project Assignments" dataDxfId="50"/>
    <tableColumn id="4" name="Remaining" dataDxfId="49"/>
    <tableColumn id="5" name="% of work completed">
      <calculatedColumnFormula>D51/C51</calculatedColumnFormula>
    </tableColumn>
    <tableColumn id="6" name="% of work remaining" dataDxfId="48">
      <calculatedColumnFormula>Table5[[#This Row],[Remaining]]/Table5[[#This Row],[Project Assignment Alloted]]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8" name="Table179" displayName="Table179" ref="B3:F4" totalsRowShown="0">
  <autoFilter ref="B3:F4"/>
  <tableColumns count="5">
    <tableColumn id="1" name="Month"/>
    <tableColumn id="2" name="Enquiry received"/>
    <tableColumn id="3" name="Enquiry converted"/>
    <tableColumn id="4" name="Difference"/>
    <tableColumn id="5" name="Win rate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9" name="Table9" displayName="Table9" ref="B9:F22" totalsRowShown="0" headerRowDxfId="46" dataDxfId="44" headerRowBorderDxfId="45" tableBorderDxfId="43">
  <autoFilter ref="B9:F22"/>
  <tableColumns count="5">
    <tableColumn id="1" name="Service"/>
    <tableColumn id="2" name="Offerings" dataDxfId="42"/>
    <tableColumn id="3" name="Enquiry received" dataDxfId="41"/>
    <tableColumn id="4" name="Enquiry Converted" dataDxfId="40"/>
    <tableColumn id="5" name="Win Rate" dataDxfId="39" dataCellStyle="Percent">
      <calculatedColumnFormula>#REF!/#REF!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0" name="Table911" displayName="Table911" ref="B25:F38" totalsRowShown="0" headerRowDxfId="38" dataDxfId="36" headerRowBorderDxfId="37" tableBorderDxfId="35">
  <autoFilter ref="B25:F38"/>
  <tableColumns count="5">
    <tableColumn id="1" name="Service"/>
    <tableColumn id="2" name="Offerings" dataDxfId="34"/>
    <tableColumn id="3" name="Enquiry received" dataDxfId="33"/>
    <tableColumn id="4" name="Enquiry Converted" dataDxfId="32"/>
    <tableColumn id="5" name="Win Rate" dataDxfId="31" dataCellStyle="Percent">
      <calculatedColumnFormula>Table911[[#This Row],[Enquiry Converted]]/Table911[[#This Row],[Enquiry received]]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1" name="Table91112" displayName="Table91112" ref="B41:F54" totalsRowShown="0" headerRowDxfId="30" dataDxfId="28" headerRowBorderDxfId="29" tableBorderDxfId="27">
  <autoFilter ref="B41:F54"/>
  <tableColumns count="5">
    <tableColumn id="1" name="Service"/>
    <tableColumn id="2" name="Offerings" dataDxfId="26"/>
    <tableColumn id="3" name="Enquiry received" dataDxfId="25"/>
    <tableColumn id="4" name="Enquiry Converted" dataDxfId="24"/>
    <tableColumn id="5" name="Win Rate" dataDxfId="23" dataCellStyle="Percent">
      <calculatedColumnFormula>Table91112[[#This Row],[Enquiry Converted]]/Table91112[[#This Row],[Enquiry received]]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2" name="Table12" displayName="Table12" ref="H9:L18" totalsRowShown="0" headerRowDxfId="22">
  <autoFilter ref="H9:L18"/>
  <tableColumns count="5">
    <tableColumn id="1" name="Month"/>
    <tableColumn id="2" name="Service"/>
    <tableColumn id="3" name="Enquiry received"/>
    <tableColumn id="4" name="Enquiry Converted"/>
    <tableColumn id="5" name="Win Rate" dataCellStyle="Percent">
      <calculatedColumnFormula>Table12[[#This Row],[Enquiry Converted]]/Table12[[#This Row],[Enquiry received]]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5" name="Table1226" displayName="Table1226" ref="B3:F6" totalsRowShown="0" headerRowDxfId="21">
  <autoFilter ref="B3:F6"/>
  <tableColumns count="5">
    <tableColumn id="1" name="Month"/>
    <tableColumn id="2" name="Service"/>
    <tableColumn id="3" name="Enquiry received"/>
    <tableColumn id="4" name="Enquiry Converted"/>
    <tableColumn id="5" name="Win Rate" dataCellStyle="Percent">
      <calculatedColumnFormula>Table1226[[#This Row],[Enquiry Converted]]/Table1226[[#This Row],[Enquiry received]]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26" name="Table1227" displayName="Table1227" ref="B9:F12" totalsRowShown="0" headerRowDxfId="20">
  <autoFilter ref="B9:F12"/>
  <tableColumns count="5">
    <tableColumn id="1" name="Month"/>
    <tableColumn id="2" name="Service"/>
    <tableColumn id="3" name="Enquiry received"/>
    <tableColumn id="4" name="Enquiry Converted"/>
    <tableColumn id="5" name="Win Rate" dataCellStyle="Percent">
      <calculatedColumnFormula>Table1227[[#This Row],[Enquiry Converted]]/Table1227[[#This Row],[Enquiry received]]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27" name="Table1228" displayName="Table1228" ref="B15:F18" totalsRowShown="0" headerRowDxfId="19">
  <autoFilter ref="B15:F18"/>
  <tableColumns count="5">
    <tableColumn id="1" name="Month"/>
    <tableColumn id="2" name="Service"/>
    <tableColumn id="3" name="Enquiry received"/>
    <tableColumn id="4" name="Enquiry Converted"/>
    <tableColumn id="5" name="Win Rate" dataCellStyle="Percent">
      <calculatedColumnFormula>Table1228[[#This Row],[Enquiry Converted]]/Table1228[[#This Row],[Enquiry received]]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5" name="Table15" displayName="Table15" ref="B5:G11" totalsRowShown="0" headerRowDxfId="18">
  <autoFilter ref="B5:G11"/>
  <tableColumns count="6">
    <tableColumn id="1" name="Due-date task" dataDxfId="17"/>
    <tableColumn id="2" name="Due-date tasks alloted" dataDxfId="16"/>
    <tableColumn id="3" name="Completed Due-date tasks" dataDxfId="15"/>
    <tableColumn id="4" name="Remaining">
      <calculatedColumnFormula>C6-D6</calculatedColumnFormula>
    </tableColumn>
    <tableColumn id="5" name="% of work completed" dataCellStyle="Percent">
      <calculatedColumnFormula>Table15[[#This Row],[Completed Due-date tasks]]/Table15[[#This Row],[Due-date tasks alloted]]</calculatedColumnFormula>
    </tableColumn>
    <tableColumn id="6" name="% of work remaining" dataDxfId="14" dataCellStyle="Percent">
      <calculatedColumnFormula>Table15[[#This Row],[Remaining]]/Table15[[#This Row],[Due-date tasks alloted]]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7" name="Table18" displayName="Table18" ref="A5:A11" totalsRowShown="0">
  <autoFilter ref="A5:A11"/>
  <tableColumns count="1">
    <tableColumn id="1" name="Month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22" name="Table22" displayName="Table22" ref="B4:G7" totalsRowShown="0" headerRowDxfId="13">
  <autoFilter ref="B4:G7"/>
  <tableColumns count="6">
    <tableColumn id="1" name="Month"/>
    <tableColumn id="2" name="GST task alloted" dataDxfId="12"/>
    <tableColumn id="3" name="completed" dataDxfId="11"/>
    <tableColumn id="4" name="Remaining" dataDxfId="10"/>
    <tableColumn id="5" name="% of work completed" dataDxfId="9" dataCellStyle="Percent">
      <calculatedColumnFormula>Table22[[#This Row],[completed]]/Table22[[#This Row],[GST task alloted]]</calculatedColumnFormula>
    </tableColumn>
    <tableColumn id="6" name="% of work remaining" dataDxfId="8" dataCellStyle="Percent">
      <calculatedColumnFormula>Table22[[#This Row],[Remaining]]/Table22[[#This Row],[GST task alloted]]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23" name="Table2024" displayName="Table2024" ref="B24:G27" totalsRowShown="0" headerRowDxfId="7" headerRowBorderDxfId="6" tableBorderDxfId="5">
  <autoFilter ref="B24:G27"/>
  <tableColumns count="6">
    <tableColumn id="1" name="Month"/>
    <tableColumn id="2" name="Income-tax Return task alloted"/>
    <tableColumn id="3" name="Income-tax Return task completed"/>
    <tableColumn id="4" name="Remaining"/>
    <tableColumn id="5" name="% of work completed" dataCellStyle="Percent">
      <calculatedColumnFormula>Table2024[[#This Row],[Income-tax Return task completed]]/Table2024[[#This Row],[Income-tax Return task alloted]]</calculatedColumnFormula>
    </tableColumn>
    <tableColumn id="6" name="% of work remaining" dataCellStyle="Percent">
      <calculatedColumnFormula>Table2024[[#This Row],[Remaining]]/Table2024[[#This Row],[Income-tax Return task alloted]]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3" name="Table3" displayName="Table3" ref="V4:AB13" totalsRowShown="0">
  <autoFilter ref="V4:AB13"/>
  <tableColumns count="7">
    <tableColumn id="1" name="Month"/>
    <tableColumn id="2" name="Project assignement task"/>
    <tableColumn id="3" name="Allotted"/>
    <tableColumn id="4" name="completed"/>
    <tableColumn id="5" name="Remaining" dataDxfId="4">
      <calculatedColumnFormula>Table3[[#This Row],[Allotted]]-Table3[[#This Row],[completed]]</calculatedColumnFormula>
    </tableColumn>
    <tableColumn id="6" name="% of work completed" dataCellStyle="Percent">
      <calculatedColumnFormula>Table3[[#This Row],[completed]]/Table3[[#This Row],[Allotted]]</calculatedColumnFormula>
    </tableColumn>
    <tableColumn id="7" name="% of work remaining" dataCellStyle="Percent">
      <calculatedColumnFormula>Table3[[#This Row],[Remaining]]/Table3[[#This Row],[Allotted]]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4" name="Table35" displayName="Table35" ref="B3:H6" totalsRowShown="0">
  <autoFilter ref="B3:H6"/>
  <tableColumns count="7">
    <tableColumn id="1" name="Month"/>
    <tableColumn id="2" name="Project assignement task"/>
    <tableColumn id="3" name="Allotted"/>
    <tableColumn id="4" name="completed"/>
    <tableColumn id="5" name="Remaining" dataDxfId="3">
      <calculatedColumnFormula>Table35[[#This Row],[Allotted]]-Table35[[#This Row],[completed]]</calculatedColumnFormula>
    </tableColumn>
    <tableColumn id="6" name="% of work completed" dataCellStyle="Percent">
      <calculatedColumnFormula>Table35[[#This Row],[completed]]/Table35[[#This Row],[Allotted]]</calculatedColumnFormula>
    </tableColumn>
    <tableColumn id="7" name="% of work remaining" dataCellStyle="Percent">
      <calculatedColumnFormula>Table35[[#This Row],[Remaining]]/Table35[[#This Row],[Allotted]]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6" name="Table37" displayName="Table37" ref="B24:H27" totalsRowShown="0">
  <autoFilter ref="B24:H27"/>
  <tableColumns count="7">
    <tableColumn id="1" name="Month"/>
    <tableColumn id="2" name="Project assignement task"/>
    <tableColumn id="3" name="Allotted"/>
    <tableColumn id="4" name="completed"/>
    <tableColumn id="5" name="Remaining" dataDxfId="2">
      <calculatedColumnFormula>Table37[[#This Row],[Allotted]]-Table37[[#This Row],[completed]]</calculatedColumnFormula>
    </tableColumn>
    <tableColumn id="6" name="% of work completed" dataCellStyle="Percent">
      <calculatedColumnFormula>Table37[[#This Row],[completed]]/Table37[[#This Row],[Allotted]]</calculatedColumnFormula>
    </tableColumn>
    <tableColumn id="7" name="% of work remaining" dataCellStyle="Percent">
      <calculatedColumnFormula>Table37[[#This Row],[Remaining]]/Table37[[#This Row],[Allotted]]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7" name="Table38" displayName="Table38" ref="B45:H48" totalsRowShown="0">
  <autoFilter ref="B45:H48"/>
  <tableColumns count="7">
    <tableColumn id="1" name="Month"/>
    <tableColumn id="2" name="Project assignement task"/>
    <tableColumn id="3" name="Allotted"/>
    <tableColumn id="4" name="completed"/>
    <tableColumn id="5" name="Remaining" dataDxfId="1">
      <calculatedColumnFormula>Table38[[#This Row],[Allotted]]-Table38[[#This Row],[completed]]</calculatedColumnFormula>
    </tableColumn>
    <tableColumn id="6" name="% of work completed" dataCellStyle="Percent">
      <calculatedColumnFormula>Table38[[#This Row],[completed]]/Table38[[#This Row],[Allotted]]</calculatedColumnFormula>
    </tableColumn>
    <tableColumn id="7" name="% of work remaining" dataCellStyle="Percent">
      <calculatedColumnFormula>Table38[[#This Row],[Remaining]]/Table38[[#This Row],[Allotted]]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24" name="Table24" displayName="Table24" ref="B4:E17" totalsRowCount="1" headerRowDxfId="0">
  <autoFilter ref="B4:E16"/>
  <tableColumns count="4">
    <tableColumn id="1" name="Month" totalsRowLabel="total"/>
    <tableColumn id="2" name="Leave Type"/>
    <tableColumn id="3" name="No. of leave taken" totalsRowFunction="custom">
      <totalsRowFormula>SUM([No. of leave taken])</totalsRowFormula>
    </tableColumn>
    <tableColumn id="4" name="Ratio of no. of leave taken to total leave" dataCellStyle="Percent">
      <calculatedColumnFormula>Table24[[#This Row],[No. of leave taken]]/Table24[[#Totals],[No. of leave taken]]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7.xml"/><Relationship Id="rId4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opLeftCell="A31" workbookViewId="0">
      <selection activeCell="I57" sqref="I57"/>
    </sheetView>
  </sheetViews>
  <sheetFormatPr defaultRowHeight="15"/>
  <cols>
    <col min="2" max="2" width="28.28515625" bestFit="1" customWidth="1"/>
    <col min="3" max="3" width="27.28515625" customWidth="1"/>
    <col min="4" max="4" width="31.42578125" customWidth="1"/>
    <col min="5" max="5" width="12.5703125" customWidth="1"/>
    <col min="6" max="6" width="21.85546875" customWidth="1"/>
  </cols>
  <sheetData>
    <row r="1" spans="1:11">
      <c r="B1" s="47" t="s">
        <v>0</v>
      </c>
      <c r="C1" s="47"/>
      <c r="D1" s="47"/>
      <c r="E1" s="47"/>
      <c r="F1" s="47"/>
    </row>
    <row r="3" spans="1:11">
      <c r="A3">
        <v>1</v>
      </c>
      <c r="B3" t="s">
        <v>1</v>
      </c>
    </row>
    <row r="5" spans="1:11">
      <c r="A5" s="7" t="s">
        <v>2</v>
      </c>
      <c r="B5" t="s">
        <v>11</v>
      </c>
      <c r="C5" t="s">
        <v>14</v>
      </c>
    </row>
    <row r="7" spans="1:11">
      <c r="B7" t="s">
        <v>7</v>
      </c>
      <c r="C7" t="s">
        <v>3</v>
      </c>
      <c r="D7" t="s">
        <v>6</v>
      </c>
      <c r="E7" t="s">
        <v>4</v>
      </c>
      <c r="F7" t="s">
        <v>5</v>
      </c>
      <c r="H7" s="48" t="s">
        <v>50</v>
      </c>
      <c r="I7" s="49"/>
      <c r="J7" s="49"/>
      <c r="K7" s="50"/>
    </row>
    <row r="8" spans="1:11">
      <c r="B8" t="s">
        <v>8</v>
      </c>
      <c r="C8">
        <v>50</v>
      </c>
      <c r="D8">
        <v>38</v>
      </c>
      <c r="E8">
        <v>12</v>
      </c>
      <c r="F8" s="4">
        <v>0.76</v>
      </c>
      <c r="H8" s="51"/>
      <c r="I8" s="52"/>
      <c r="J8" s="52"/>
      <c r="K8" s="53"/>
    </row>
    <row r="9" spans="1:11">
      <c r="B9" s="5" t="s">
        <v>9</v>
      </c>
      <c r="C9" s="2">
        <v>30</v>
      </c>
      <c r="D9" s="2">
        <v>20</v>
      </c>
      <c r="E9" s="2">
        <f>C9-D9</f>
        <v>10</v>
      </c>
      <c r="F9" s="3">
        <f>D9/C9</f>
        <v>0.66666666666666663</v>
      </c>
      <c r="H9" s="51"/>
      <c r="I9" s="52"/>
      <c r="J9" s="52"/>
      <c r="K9" s="53"/>
    </row>
    <row r="10" spans="1:11">
      <c r="B10" s="5" t="s">
        <v>10</v>
      </c>
      <c r="C10" s="2">
        <v>40</v>
      </c>
      <c r="D10" s="2">
        <v>15</v>
      </c>
      <c r="E10" s="2">
        <f>C10-D10</f>
        <v>25</v>
      </c>
      <c r="F10" s="3">
        <f>D10/C10</f>
        <v>0.375</v>
      </c>
      <c r="H10" s="51"/>
      <c r="I10" s="52"/>
      <c r="J10" s="52"/>
      <c r="K10" s="53"/>
    </row>
    <row r="11" spans="1:11">
      <c r="H11" s="51"/>
      <c r="I11" s="52"/>
      <c r="J11" s="52"/>
      <c r="K11" s="53"/>
    </row>
    <row r="12" spans="1:11">
      <c r="H12" s="51"/>
      <c r="I12" s="52"/>
      <c r="J12" s="52"/>
      <c r="K12" s="53"/>
    </row>
    <row r="13" spans="1:11">
      <c r="H13" s="51"/>
      <c r="I13" s="52"/>
      <c r="J13" s="52"/>
      <c r="K13" s="53"/>
    </row>
    <row r="14" spans="1:11">
      <c r="H14" s="51"/>
      <c r="I14" s="52"/>
      <c r="J14" s="52"/>
      <c r="K14" s="53"/>
    </row>
    <row r="15" spans="1:11">
      <c r="H15" s="51"/>
      <c r="I15" s="52"/>
      <c r="J15" s="52"/>
      <c r="K15" s="53"/>
    </row>
    <row r="16" spans="1:11">
      <c r="H16" s="51"/>
      <c r="I16" s="52"/>
      <c r="J16" s="52"/>
      <c r="K16" s="53"/>
    </row>
    <row r="17" spans="1:11">
      <c r="H17" s="51"/>
      <c r="I17" s="52"/>
      <c r="J17" s="52"/>
      <c r="K17" s="53"/>
    </row>
    <row r="18" spans="1:11">
      <c r="H18" s="51"/>
      <c r="I18" s="52"/>
      <c r="J18" s="52"/>
      <c r="K18" s="53"/>
    </row>
    <row r="19" spans="1:11">
      <c r="H19" s="51"/>
      <c r="I19" s="52"/>
      <c r="J19" s="52"/>
      <c r="K19" s="53"/>
    </row>
    <row r="20" spans="1:11">
      <c r="H20" s="51"/>
      <c r="I20" s="52"/>
      <c r="J20" s="52"/>
      <c r="K20" s="53"/>
    </row>
    <row r="21" spans="1:11">
      <c r="H21" s="51"/>
      <c r="I21" s="52"/>
      <c r="J21" s="52"/>
      <c r="K21" s="53"/>
    </row>
    <row r="22" spans="1:11">
      <c r="H22" s="51"/>
      <c r="I22" s="52"/>
      <c r="J22" s="52"/>
      <c r="K22" s="53"/>
    </row>
    <row r="23" spans="1:11">
      <c r="H23" s="51"/>
      <c r="I23" s="52"/>
      <c r="J23" s="52"/>
      <c r="K23" s="53"/>
    </row>
    <row r="24" spans="1:11">
      <c r="H24" s="51"/>
      <c r="I24" s="52"/>
      <c r="J24" s="52"/>
      <c r="K24" s="53"/>
    </row>
    <row r="25" spans="1:11">
      <c r="H25" s="54"/>
      <c r="I25" s="55"/>
      <c r="J25" s="55"/>
      <c r="K25" s="56"/>
    </row>
    <row r="28" spans="1:11">
      <c r="A28" s="7" t="s">
        <v>12</v>
      </c>
      <c r="B28" t="s">
        <v>13</v>
      </c>
      <c r="C28" t="s">
        <v>14</v>
      </c>
    </row>
    <row r="30" spans="1:11" ht="60">
      <c r="B30" s="8" t="s">
        <v>7</v>
      </c>
      <c r="C30" s="9" t="s">
        <v>15</v>
      </c>
      <c r="D30" s="9" t="s">
        <v>16</v>
      </c>
      <c r="E30" s="9" t="s">
        <v>17</v>
      </c>
      <c r="F30" s="9" t="s">
        <v>18</v>
      </c>
      <c r="G30" s="23" t="s">
        <v>21</v>
      </c>
      <c r="I30" s="48" t="s">
        <v>60</v>
      </c>
      <c r="J30" s="49"/>
      <c r="K30" s="50"/>
    </row>
    <row r="31" spans="1:11">
      <c r="B31" s="1" t="s">
        <v>8</v>
      </c>
      <c r="C31" s="10">
        <v>29</v>
      </c>
      <c r="D31" s="10">
        <v>4</v>
      </c>
      <c r="E31" s="10">
        <v>25</v>
      </c>
      <c r="F31" s="11">
        <v>0.13793103448275862</v>
      </c>
      <c r="G31" s="11">
        <f>E31/C31</f>
        <v>0.86206896551724133</v>
      </c>
      <c r="I31" s="51"/>
      <c r="J31" s="52"/>
      <c r="K31" s="53"/>
    </row>
    <row r="32" spans="1:11">
      <c r="B32" s="14" t="s">
        <v>9</v>
      </c>
      <c r="C32" s="14">
        <v>30</v>
      </c>
      <c r="D32" s="14">
        <v>10</v>
      </c>
      <c r="E32" s="14">
        <v>20</v>
      </c>
      <c r="F32" s="15">
        <f>D32/C32</f>
        <v>0.33333333333333331</v>
      </c>
      <c r="G32" s="15">
        <f>E32/C32</f>
        <v>0.66666666666666663</v>
      </c>
      <c r="I32" s="51"/>
      <c r="J32" s="52"/>
      <c r="K32" s="53"/>
    </row>
    <row r="33" spans="2:11">
      <c r="B33" s="14" t="s">
        <v>10</v>
      </c>
      <c r="C33" s="14">
        <v>40</v>
      </c>
      <c r="D33" s="14">
        <v>20</v>
      </c>
      <c r="E33" s="14">
        <v>20</v>
      </c>
      <c r="F33" s="15">
        <f>D33/C33</f>
        <v>0.5</v>
      </c>
      <c r="G33" s="15">
        <f>E33/C33</f>
        <v>0.5</v>
      </c>
      <c r="I33" s="51"/>
      <c r="J33" s="52"/>
      <c r="K33" s="53"/>
    </row>
    <row r="34" spans="2:11">
      <c r="B34" s="21"/>
      <c r="C34" s="21"/>
      <c r="D34" s="21"/>
      <c r="E34" s="21"/>
      <c r="F34" s="22"/>
      <c r="I34" s="51"/>
      <c r="J34" s="52"/>
      <c r="K34" s="53"/>
    </row>
    <row r="35" spans="2:11">
      <c r="B35" s="21"/>
      <c r="C35" s="21"/>
      <c r="D35" s="21"/>
      <c r="E35" s="21"/>
      <c r="F35" s="22"/>
      <c r="I35" s="51"/>
      <c r="J35" s="52"/>
      <c r="K35" s="53"/>
    </row>
    <row r="36" spans="2:11">
      <c r="B36" s="21"/>
      <c r="C36" s="21"/>
      <c r="D36" s="21"/>
      <c r="E36" s="21"/>
      <c r="F36" s="22"/>
      <c r="I36" s="51"/>
      <c r="J36" s="52"/>
      <c r="K36" s="53"/>
    </row>
    <row r="37" spans="2:11">
      <c r="B37" s="21"/>
      <c r="C37" s="21"/>
      <c r="D37" s="21"/>
      <c r="E37" s="21"/>
      <c r="F37" s="22"/>
      <c r="I37" s="51"/>
      <c r="J37" s="52"/>
      <c r="K37" s="53"/>
    </row>
    <row r="38" spans="2:11">
      <c r="B38" s="21"/>
      <c r="C38" s="21"/>
      <c r="D38" s="21"/>
      <c r="E38" s="21"/>
      <c r="F38" s="22"/>
      <c r="I38" s="51"/>
      <c r="J38" s="52"/>
      <c r="K38" s="53"/>
    </row>
    <row r="39" spans="2:11">
      <c r="B39" s="21"/>
      <c r="C39" s="21"/>
      <c r="D39" s="21"/>
      <c r="E39" s="21"/>
      <c r="F39" s="22"/>
      <c r="I39" s="51"/>
      <c r="J39" s="52"/>
      <c r="K39" s="53"/>
    </row>
    <row r="40" spans="2:11">
      <c r="B40" s="21"/>
      <c r="C40" s="21"/>
      <c r="D40" s="21"/>
      <c r="E40" s="21"/>
      <c r="F40" s="22"/>
      <c r="I40" s="51"/>
      <c r="J40" s="52"/>
      <c r="K40" s="53"/>
    </row>
    <row r="41" spans="2:11">
      <c r="B41" s="21"/>
      <c r="C41" s="21"/>
      <c r="D41" s="21"/>
      <c r="E41" s="21"/>
      <c r="F41" s="22"/>
      <c r="I41" s="51"/>
      <c r="J41" s="52"/>
      <c r="K41" s="53"/>
    </row>
    <row r="42" spans="2:11">
      <c r="B42" s="21"/>
      <c r="C42" s="21"/>
      <c r="D42" s="21"/>
      <c r="E42" s="21"/>
      <c r="F42" s="22"/>
      <c r="I42" s="51"/>
      <c r="J42" s="52"/>
      <c r="K42" s="53"/>
    </row>
    <row r="43" spans="2:11">
      <c r="B43" s="21"/>
      <c r="C43" s="21"/>
      <c r="D43" s="21"/>
      <c r="E43" s="21"/>
      <c r="F43" s="22"/>
      <c r="I43" s="51"/>
      <c r="J43" s="52"/>
      <c r="K43" s="53"/>
    </row>
    <row r="44" spans="2:11">
      <c r="B44" s="21"/>
      <c r="C44" s="21"/>
      <c r="D44" s="21"/>
      <c r="E44" s="21"/>
      <c r="F44" s="22"/>
      <c r="I44" s="51"/>
      <c r="J44" s="52"/>
      <c r="K44" s="53"/>
    </row>
    <row r="45" spans="2:11">
      <c r="B45" s="21"/>
      <c r="C45" s="21"/>
      <c r="D45" s="21"/>
      <c r="E45" s="21"/>
      <c r="F45" s="22"/>
      <c r="I45" s="51"/>
      <c r="J45" s="52"/>
      <c r="K45" s="53"/>
    </row>
    <row r="46" spans="2:11">
      <c r="B46" s="21"/>
      <c r="C46" s="21"/>
      <c r="D46" s="21"/>
      <c r="E46" s="21"/>
      <c r="F46" s="22"/>
      <c r="I46" s="51"/>
      <c r="J46" s="52"/>
      <c r="K46" s="53"/>
    </row>
    <row r="47" spans="2:11">
      <c r="B47" s="21"/>
      <c r="C47" s="21"/>
      <c r="D47" s="21"/>
      <c r="E47" s="21"/>
      <c r="F47" s="22"/>
      <c r="I47" s="51"/>
      <c r="J47" s="52"/>
      <c r="K47" s="53"/>
    </row>
    <row r="48" spans="2:11">
      <c r="B48" s="21"/>
      <c r="C48" s="21"/>
      <c r="D48" s="21"/>
      <c r="E48" s="21"/>
      <c r="F48" s="22"/>
      <c r="I48" s="54"/>
      <c r="J48" s="55"/>
      <c r="K48" s="56"/>
    </row>
    <row r="50" spans="2:7" ht="60">
      <c r="B50" s="17" t="s">
        <v>7</v>
      </c>
      <c r="C50" s="18" t="s">
        <v>19</v>
      </c>
      <c r="D50" s="18" t="s">
        <v>20</v>
      </c>
      <c r="E50" s="18" t="s">
        <v>17</v>
      </c>
      <c r="F50" s="19" t="s">
        <v>18</v>
      </c>
      <c r="G50" s="26" t="s">
        <v>21</v>
      </c>
    </row>
    <row r="51" spans="2:7">
      <c r="B51" s="1" t="s">
        <v>8</v>
      </c>
      <c r="C51" s="10">
        <v>11</v>
      </c>
      <c r="D51" s="10">
        <v>6</v>
      </c>
      <c r="E51" s="12">
        <v>5</v>
      </c>
      <c r="F51" s="13">
        <v>0.54545454545454541</v>
      </c>
      <c r="G51" s="24">
        <f>Table5[[#This Row],[Remaining]]/Table5[[#This Row],[Project Assignment Alloted]]</f>
        <v>0.45454545454545453</v>
      </c>
    </row>
    <row r="52" spans="2:7">
      <c r="B52" s="14" t="s">
        <v>9</v>
      </c>
      <c r="C52" s="14">
        <v>15</v>
      </c>
      <c r="D52" s="14">
        <v>10</v>
      </c>
      <c r="E52" s="16">
        <v>5</v>
      </c>
      <c r="F52" s="20">
        <f>D52/C52</f>
        <v>0.66666666666666663</v>
      </c>
      <c r="G52" s="25">
        <f>Table5[[#This Row],[Remaining]]/Table5[[#This Row],[Project Assignment Alloted]]</f>
        <v>0.33333333333333331</v>
      </c>
    </row>
    <row r="53" spans="2:7">
      <c r="B53" s="14" t="s">
        <v>10</v>
      </c>
      <c r="C53" s="14">
        <v>25</v>
      </c>
      <c r="D53" s="14">
        <v>20</v>
      </c>
      <c r="E53" s="16">
        <v>5</v>
      </c>
      <c r="F53" s="6">
        <f>D53/C53</f>
        <v>0.8</v>
      </c>
      <c r="G53" s="25">
        <f>Table5[[#This Row],[Remaining]]/Table5[[#This Row],[Project Assignment Alloted]]</f>
        <v>0.2</v>
      </c>
    </row>
  </sheetData>
  <mergeCells count="3">
    <mergeCell ref="B1:F1"/>
    <mergeCell ref="H7:K25"/>
    <mergeCell ref="I30:K48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L54"/>
  <sheetViews>
    <sheetView topLeftCell="A25" workbookViewId="0">
      <selection activeCell="G11" sqref="G11"/>
    </sheetView>
  </sheetViews>
  <sheetFormatPr defaultRowHeight="15"/>
  <cols>
    <col min="2" max="2" width="9.5703125" customWidth="1"/>
    <col min="3" max="3" width="22.28515625" bestFit="1" customWidth="1"/>
    <col min="4" max="4" width="18" customWidth="1"/>
    <col min="5" max="5" width="19.5703125" customWidth="1"/>
    <col min="6" max="6" width="11.28515625" customWidth="1"/>
    <col min="9" max="9" width="22" bestFit="1" customWidth="1"/>
    <col min="10" max="10" width="18" customWidth="1"/>
    <col min="11" max="11" width="19.5703125" customWidth="1"/>
    <col min="12" max="12" width="11.28515625" customWidth="1"/>
  </cols>
  <sheetData>
    <row r="1" spans="2:12">
      <c r="B1" s="47" t="s">
        <v>61</v>
      </c>
      <c r="C1" s="47"/>
      <c r="D1" s="47"/>
      <c r="E1" s="47"/>
      <c r="F1" s="47"/>
    </row>
    <row r="3" spans="2:12">
      <c r="B3" t="s">
        <v>7</v>
      </c>
      <c r="C3" t="s">
        <v>3</v>
      </c>
      <c r="D3" t="s">
        <v>6</v>
      </c>
      <c r="E3" t="s">
        <v>4</v>
      </c>
      <c r="F3" t="s">
        <v>5</v>
      </c>
    </row>
    <row r="4" spans="2:12">
      <c r="B4" t="s">
        <v>8</v>
      </c>
      <c r="C4">
        <v>50</v>
      </c>
      <c r="D4">
        <v>38</v>
      </c>
      <c r="E4">
        <v>12</v>
      </c>
      <c r="F4" s="4">
        <v>0.76</v>
      </c>
    </row>
    <row r="5" spans="2:12">
      <c r="B5" s="5" t="s">
        <v>9</v>
      </c>
      <c r="C5" s="2">
        <v>30</v>
      </c>
      <c r="D5" s="2">
        <v>20</v>
      </c>
      <c r="E5" s="2">
        <f>C5-D5</f>
        <v>10</v>
      </c>
      <c r="F5" s="3">
        <f>D5/C5</f>
        <v>0.66666666666666663</v>
      </c>
    </row>
    <row r="6" spans="2:12">
      <c r="B6" s="5" t="s">
        <v>10</v>
      </c>
      <c r="C6" s="2">
        <v>40</v>
      </c>
      <c r="D6" s="2">
        <v>15</v>
      </c>
      <c r="E6" s="2">
        <f>C6-D6</f>
        <v>25</v>
      </c>
      <c r="F6" s="3">
        <f>D6/C6</f>
        <v>0.375</v>
      </c>
    </row>
    <row r="8" spans="2:12">
      <c r="B8" s="5" t="s">
        <v>8</v>
      </c>
    </row>
    <row r="9" spans="2:12">
      <c r="B9" s="32" t="s">
        <v>42</v>
      </c>
      <c r="C9" s="33" t="s">
        <v>22</v>
      </c>
      <c r="D9" s="33" t="s">
        <v>3</v>
      </c>
      <c r="E9" s="33" t="s">
        <v>28</v>
      </c>
      <c r="F9" s="33" t="s">
        <v>40</v>
      </c>
      <c r="H9" t="s">
        <v>7</v>
      </c>
      <c r="I9" s="27" t="s">
        <v>42</v>
      </c>
      <c r="J9" s="28" t="s">
        <v>3</v>
      </c>
      <c r="K9" s="28" t="s">
        <v>28</v>
      </c>
      <c r="L9" s="29" t="s">
        <v>40</v>
      </c>
    </row>
    <row r="10" spans="2:12">
      <c r="B10" s="35" t="s">
        <v>23</v>
      </c>
      <c r="C10" s="2" t="s">
        <v>24</v>
      </c>
      <c r="D10" s="2">
        <v>5</v>
      </c>
      <c r="E10" s="2">
        <v>5</v>
      </c>
      <c r="F10" s="30">
        <f>Table9[[#This Row],[Enquiry Converted]]/Table9[[#This Row],[Enquiry received]]</f>
        <v>1</v>
      </c>
      <c r="H10" t="s">
        <v>8</v>
      </c>
      <c r="I10" t="s">
        <v>23</v>
      </c>
      <c r="J10">
        <v>10</v>
      </c>
      <c r="K10">
        <v>10</v>
      </c>
      <c r="L10" s="6">
        <f>Table12[[#This Row],[Enquiry Converted]]/Table12[[#This Row],[Enquiry received]]</f>
        <v>1</v>
      </c>
    </row>
    <row r="11" spans="2:12">
      <c r="C11" s="31" t="s">
        <v>27</v>
      </c>
      <c r="D11" s="31">
        <v>2</v>
      </c>
      <c r="E11" s="31">
        <v>2</v>
      </c>
      <c r="F11" s="36">
        <f>Table9[[#This Row],[Enquiry Converted]]/Table9[[#This Row],[Enquiry received]]</f>
        <v>1</v>
      </c>
      <c r="I11" t="s">
        <v>29</v>
      </c>
      <c r="J11">
        <v>20</v>
      </c>
      <c r="K11">
        <v>18</v>
      </c>
      <c r="L11" s="6">
        <f>Table12[[#This Row],[Enquiry Converted]]/Table12[[#This Row],[Enquiry received]]</f>
        <v>0.9</v>
      </c>
    </row>
    <row r="12" spans="2:12">
      <c r="C12" s="2" t="s">
        <v>25</v>
      </c>
      <c r="D12" s="2">
        <v>2</v>
      </c>
      <c r="E12" s="2">
        <v>2</v>
      </c>
      <c r="F12" s="30">
        <f>Table9[[#This Row],[Enquiry Converted]]/Table9[[#This Row],[Enquiry received]]</f>
        <v>1</v>
      </c>
      <c r="I12" t="s">
        <v>35</v>
      </c>
      <c r="J12">
        <v>20</v>
      </c>
      <c r="K12">
        <v>10</v>
      </c>
      <c r="L12" s="6">
        <f>Table12[[#This Row],[Enquiry Converted]]/Table12[[#This Row],[Enquiry received]]</f>
        <v>0.5</v>
      </c>
    </row>
    <row r="13" spans="2:12">
      <c r="C13" s="31" t="s">
        <v>26</v>
      </c>
      <c r="D13" s="31">
        <v>1</v>
      </c>
      <c r="E13" s="31">
        <v>1</v>
      </c>
      <c r="F13" s="36">
        <f>Table9[[#This Row],[Enquiry Converted]]/Table9[[#This Row],[Enquiry received]]</f>
        <v>1</v>
      </c>
      <c r="H13" t="s">
        <v>9</v>
      </c>
      <c r="I13" t="s">
        <v>23</v>
      </c>
      <c r="J13">
        <v>14</v>
      </c>
      <c r="K13">
        <v>12</v>
      </c>
      <c r="L13" s="6">
        <f>Table12[[#This Row],[Enquiry Converted]]/Table12[[#This Row],[Enquiry received]]</f>
        <v>0.8571428571428571</v>
      </c>
    </row>
    <row r="14" spans="2:12">
      <c r="B14" s="5" t="s">
        <v>29</v>
      </c>
      <c r="C14" s="2" t="s">
        <v>30</v>
      </c>
      <c r="D14" s="2">
        <v>5</v>
      </c>
      <c r="E14" s="2">
        <v>5</v>
      </c>
      <c r="F14" s="30">
        <f>E14/D14</f>
        <v>1</v>
      </c>
      <c r="I14" t="s">
        <v>29</v>
      </c>
      <c r="J14">
        <v>9</v>
      </c>
      <c r="K14">
        <v>5</v>
      </c>
      <c r="L14" s="6">
        <f>Table12[[#This Row],[Enquiry Converted]]/Table12[[#This Row],[Enquiry received]]</f>
        <v>0.55555555555555558</v>
      </c>
    </row>
    <row r="15" spans="2:12">
      <c r="C15" s="31" t="s">
        <v>31</v>
      </c>
      <c r="D15" s="31">
        <v>5</v>
      </c>
      <c r="E15" s="31">
        <v>5</v>
      </c>
      <c r="F15" s="30">
        <f t="shared" ref="F15:F21" si="0">E15/D15</f>
        <v>1</v>
      </c>
      <c r="I15" t="s">
        <v>35</v>
      </c>
      <c r="J15">
        <v>7</v>
      </c>
      <c r="K15">
        <v>3</v>
      </c>
      <c r="L15" s="6">
        <f>Table12[[#This Row],[Enquiry Converted]]/Table12[[#This Row],[Enquiry received]]</f>
        <v>0.42857142857142855</v>
      </c>
    </row>
    <row r="16" spans="2:12">
      <c r="C16" s="2" t="s">
        <v>32</v>
      </c>
      <c r="D16" s="2">
        <v>4</v>
      </c>
      <c r="E16" s="2">
        <v>4</v>
      </c>
      <c r="F16" s="30">
        <f t="shared" si="0"/>
        <v>1</v>
      </c>
      <c r="H16" t="s">
        <v>10</v>
      </c>
      <c r="I16" t="s">
        <v>23</v>
      </c>
      <c r="J16">
        <v>14</v>
      </c>
      <c r="K16">
        <v>5</v>
      </c>
      <c r="L16" s="6">
        <f>Table12[[#This Row],[Enquiry Converted]]/Table12[[#This Row],[Enquiry received]]</f>
        <v>0.35714285714285715</v>
      </c>
    </row>
    <row r="17" spans="2:12">
      <c r="C17" s="31" t="s">
        <v>33</v>
      </c>
      <c r="D17" s="31">
        <v>4</v>
      </c>
      <c r="E17" s="31">
        <v>2</v>
      </c>
      <c r="F17" s="30">
        <f>Table9[[#This Row],[Enquiry Converted]]/Table9[[#This Row],[Enquiry received]]</f>
        <v>0.5</v>
      </c>
      <c r="I17" t="s">
        <v>29</v>
      </c>
      <c r="J17">
        <v>15</v>
      </c>
      <c r="K17">
        <v>6</v>
      </c>
      <c r="L17" s="6">
        <f>Table12[[#This Row],[Enquiry Converted]]/Table12[[#This Row],[Enquiry received]]</f>
        <v>0.4</v>
      </c>
    </row>
    <row r="18" spans="2:12">
      <c r="C18" s="2" t="s">
        <v>34</v>
      </c>
      <c r="D18" s="2">
        <v>2</v>
      </c>
      <c r="E18" s="2">
        <v>2</v>
      </c>
      <c r="F18" s="30">
        <f t="shared" si="0"/>
        <v>1</v>
      </c>
      <c r="I18" t="s">
        <v>35</v>
      </c>
      <c r="J18">
        <v>11</v>
      </c>
      <c r="K18">
        <v>4</v>
      </c>
      <c r="L18" s="6">
        <f>Table12[[#This Row],[Enquiry Converted]]/Table12[[#This Row],[Enquiry received]]</f>
        <v>0.36363636363636365</v>
      </c>
    </row>
    <row r="19" spans="2:12">
      <c r="B19" s="5" t="s">
        <v>35</v>
      </c>
      <c r="C19" s="2" t="s">
        <v>36</v>
      </c>
      <c r="D19" s="2">
        <v>5</v>
      </c>
      <c r="E19" s="2">
        <v>2</v>
      </c>
      <c r="F19" s="30">
        <f>Table9[[#This Row],[Enquiry Converted]]/Table9[[#This Row],[Enquiry received]]</f>
        <v>0.4</v>
      </c>
    </row>
    <row r="20" spans="2:12">
      <c r="C20" s="31" t="s">
        <v>37</v>
      </c>
      <c r="D20" s="31">
        <v>5</v>
      </c>
      <c r="E20" s="31">
        <v>2</v>
      </c>
      <c r="F20" s="30">
        <f>Table9[[#This Row],[Enquiry Converted]]/Table9[[#This Row],[Enquiry received]]</f>
        <v>0.4</v>
      </c>
    </row>
    <row r="21" spans="2:12">
      <c r="C21" s="2" t="s">
        <v>38</v>
      </c>
      <c r="D21" s="2">
        <v>5</v>
      </c>
      <c r="E21" s="2">
        <v>5</v>
      </c>
      <c r="F21" s="30">
        <f t="shared" si="0"/>
        <v>1</v>
      </c>
    </row>
    <row r="22" spans="2:12">
      <c r="C22" s="31" t="s">
        <v>39</v>
      </c>
      <c r="D22" s="31">
        <v>5</v>
      </c>
      <c r="E22" s="31">
        <v>1</v>
      </c>
      <c r="F22" s="30">
        <f>Table9[[#This Row],[Enquiry Converted]]/Table9[[#This Row],[Enquiry received]]</f>
        <v>0.2</v>
      </c>
    </row>
    <row r="24" spans="2:12">
      <c r="B24" t="s">
        <v>9</v>
      </c>
    </row>
    <row r="25" spans="2:12">
      <c r="B25" s="32" t="s">
        <v>42</v>
      </c>
      <c r="C25" s="33" t="s">
        <v>22</v>
      </c>
      <c r="D25" s="33" t="s">
        <v>3</v>
      </c>
      <c r="E25" s="33" t="s">
        <v>28</v>
      </c>
      <c r="F25" s="33" t="s">
        <v>40</v>
      </c>
    </row>
    <row r="26" spans="2:12">
      <c r="B26" s="35" t="s">
        <v>23</v>
      </c>
      <c r="C26" s="2" t="s">
        <v>24</v>
      </c>
      <c r="D26" s="2">
        <v>2</v>
      </c>
      <c r="E26" s="2">
        <v>2</v>
      </c>
      <c r="F26" s="30">
        <f>Table911[[#This Row],[Enquiry Converted]]/Table911[[#This Row],[Enquiry received]]</f>
        <v>1</v>
      </c>
    </row>
    <row r="27" spans="2:12">
      <c r="C27" s="31" t="s">
        <v>27</v>
      </c>
      <c r="D27" s="31">
        <v>3</v>
      </c>
      <c r="E27" s="31">
        <v>3</v>
      </c>
      <c r="F27" s="36">
        <f>Table911[[#This Row],[Enquiry Converted]]/Table911[[#This Row],[Enquiry received]]</f>
        <v>1</v>
      </c>
    </row>
    <row r="28" spans="2:12">
      <c r="C28" s="2" t="s">
        <v>25</v>
      </c>
      <c r="D28" s="2">
        <v>4</v>
      </c>
      <c r="E28" s="2">
        <v>4</v>
      </c>
      <c r="F28" s="30">
        <f>Table911[[#This Row],[Enquiry Converted]]/Table911[[#This Row],[Enquiry received]]</f>
        <v>1</v>
      </c>
    </row>
    <row r="29" spans="2:12">
      <c r="C29" s="31" t="s">
        <v>26</v>
      </c>
      <c r="D29" s="31">
        <v>5</v>
      </c>
      <c r="E29" s="31">
        <v>3</v>
      </c>
      <c r="F29" s="36">
        <f>Table911[[#This Row],[Enquiry Converted]]/Table911[[#This Row],[Enquiry received]]</f>
        <v>0.6</v>
      </c>
    </row>
    <row r="30" spans="2:12">
      <c r="B30" s="5" t="s">
        <v>29</v>
      </c>
      <c r="C30" s="2" t="s">
        <v>30</v>
      </c>
      <c r="D30" s="2">
        <v>2</v>
      </c>
      <c r="E30" s="2">
        <v>1</v>
      </c>
      <c r="F30" s="30">
        <f>Table911[[#This Row],[Enquiry Converted]]/Table911[[#This Row],[Enquiry received]]</f>
        <v>0.5</v>
      </c>
    </row>
    <row r="31" spans="2:12">
      <c r="C31" s="31" t="s">
        <v>31</v>
      </c>
      <c r="D31" s="31">
        <v>2</v>
      </c>
      <c r="E31" s="31">
        <v>1</v>
      </c>
      <c r="F31" s="36">
        <f>Table911[[#This Row],[Enquiry Converted]]/Table911[[#This Row],[Enquiry received]]</f>
        <v>0.5</v>
      </c>
    </row>
    <row r="32" spans="2:12">
      <c r="C32" s="2" t="s">
        <v>32</v>
      </c>
      <c r="D32" s="2">
        <v>1</v>
      </c>
      <c r="E32" s="2">
        <v>1</v>
      </c>
      <c r="F32" s="30">
        <f>Table911[[#This Row],[Enquiry Converted]]/Table911[[#This Row],[Enquiry received]]</f>
        <v>1</v>
      </c>
    </row>
    <row r="33" spans="2:6">
      <c r="C33" s="31" t="s">
        <v>33</v>
      </c>
      <c r="D33" s="31">
        <v>1</v>
      </c>
      <c r="E33" s="31">
        <v>1</v>
      </c>
      <c r="F33" s="36">
        <f>Table911[[#This Row],[Enquiry Converted]]/Table911[[#This Row],[Enquiry received]]</f>
        <v>1</v>
      </c>
    </row>
    <row r="34" spans="2:6">
      <c r="C34" s="2" t="s">
        <v>34</v>
      </c>
      <c r="D34" s="2">
        <v>3</v>
      </c>
      <c r="E34" s="2">
        <v>1</v>
      </c>
      <c r="F34" s="30">
        <f>Table911[[#This Row],[Enquiry Converted]]/Table911[[#This Row],[Enquiry received]]</f>
        <v>0.33333333333333331</v>
      </c>
    </row>
    <row r="35" spans="2:6">
      <c r="B35" s="5" t="s">
        <v>35</v>
      </c>
      <c r="C35" s="2" t="s">
        <v>36</v>
      </c>
      <c r="D35" s="2">
        <v>2</v>
      </c>
      <c r="E35" s="2">
        <v>1</v>
      </c>
      <c r="F35" s="30">
        <f>Table911[[#This Row],[Enquiry Converted]]/Table911[[#This Row],[Enquiry received]]</f>
        <v>0.5</v>
      </c>
    </row>
    <row r="36" spans="2:6">
      <c r="C36" s="31" t="s">
        <v>37</v>
      </c>
      <c r="D36" s="31">
        <v>1</v>
      </c>
      <c r="E36" s="31">
        <v>0</v>
      </c>
      <c r="F36" s="36">
        <f>Table911[[#This Row],[Enquiry Converted]]/Table911[[#This Row],[Enquiry received]]</f>
        <v>0</v>
      </c>
    </row>
    <row r="37" spans="2:6">
      <c r="C37" s="2" t="s">
        <v>38</v>
      </c>
      <c r="D37" s="2">
        <v>3</v>
      </c>
      <c r="E37" s="2">
        <v>1</v>
      </c>
      <c r="F37" s="30">
        <f>Table911[[#This Row],[Enquiry Converted]]/Table911[[#This Row],[Enquiry received]]</f>
        <v>0.33333333333333331</v>
      </c>
    </row>
    <row r="38" spans="2:6">
      <c r="C38" s="31" t="s">
        <v>39</v>
      </c>
      <c r="D38" s="31">
        <v>1</v>
      </c>
      <c r="E38" s="31">
        <v>1</v>
      </c>
      <c r="F38" s="36">
        <f>Table911[[#This Row],[Enquiry Converted]]/Table911[[#This Row],[Enquiry received]]</f>
        <v>1</v>
      </c>
    </row>
    <row r="40" spans="2:6">
      <c r="B40" t="s">
        <v>10</v>
      </c>
    </row>
    <row r="41" spans="2:6">
      <c r="B41" s="32" t="s">
        <v>42</v>
      </c>
      <c r="C41" s="33" t="s">
        <v>22</v>
      </c>
      <c r="D41" s="33" t="s">
        <v>3</v>
      </c>
      <c r="E41" s="33" t="s">
        <v>28</v>
      </c>
      <c r="F41" s="33" t="s">
        <v>40</v>
      </c>
    </row>
    <row r="42" spans="2:6">
      <c r="B42" s="35" t="s">
        <v>23</v>
      </c>
      <c r="C42" s="2" t="s">
        <v>24</v>
      </c>
      <c r="D42" s="2">
        <v>1</v>
      </c>
      <c r="E42" s="2">
        <v>1</v>
      </c>
      <c r="F42" s="30">
        <f>Table91112[[#This Row],[Enquiry Converted]]/Table91112[[#This Row],[Enquiry received]]</f>
        <v>1</v>
      </c>
    </row>
    <row r="43" spans="2:6">
      <c r="C43" s="31" t="s">
        <v>27</v>
      </c>
      <c r="D43" s="31">
        <v>3</v>
      </c>
      <c r="E43" s="31">
        <v>1</v>
      </c>
      <c r="F43" s="36">
        <f>Table91112[[#This Row],[Enquiry Converted]]/Table91112[[#This Row],[Enquiry received]]</f>
        <v>0.33333333333333331</v>
      </c>
    </row>
    <row r="44" spans="2:6">
      <c r="C44" s="2" t="s">
        <v>25</v>
      </c>
      <c r="D44" s="2">
        <v>4</v>
      </c>
      <c r="E44" s="2">
        <v>2</v>
      </c>
      <c r="F44" s="30">
        <f>Table91112[[#This Row],[Enquiry Converted]]/Table91112[[#This Row],[Enquiry received]]</f>
        <v>0.5</v>
      </c>
    </row>
    <row r="45" spans="2:6">
      <c r="C45" s="31" t="s">
        <v>26</v>
      </c>
      <c r="D45" s="31">
        <v>6</v>
      </c>
      <c r="E45" s="31">
        <v>1</v>
      </c>
      <c r="F45" s="36">
        <f>Table91112[[#This Row],[Enquiry Converted]]/Table91112[[#This Row],[Enquiry received]]</f>
        <v>0.16666666666666666</v>
      </c>
    </row>
    <row r="46" spans="2:6">
      <c r="B46" s="5" t="s">
        <v>29</v>
      </c>
      <c r="C46" s="2" t="s">
        <v>30</v>
      </c>
      <c r="D46" s="2">
        <v>2</v>
      </c>
      <c r="E46" s="2">
        <v>1</v>
      </c>
      <c r="F46" s="30">
        <f>Table91112[[#This Row],[Enquiry Converted]]/Table91112[[#This Row],[Enquiry received]]</f>
        <v>0.5</v>
      </c>
    </row>
    <row r="47" spans="2:6">
      <c r="C47" s="31" t="s">
        <v>31</v>
      </c>
      <c r="D47" s="31">
        <v>1</v>
      </c>
      <c r="E47" s="31">
        <v>1</v>
      </c>
      <c r="F47" s="36">
        <f>Table91112[[#This Row],[Enquiry Converted]]/Table91112[[#This Row],[Enquiry received]]</f>
        <v>1</v>
      </c>
    </row>
    <row r="48" spans="2:6">
      <c r="C48" s="2" t="s">
        <v>32</v>
      </c>
      <c r="D48" s="2">
        <v>5</v>
      </c>
      <c r="E48" s="2">
        <v>2</v>
      </c>
      <c r="F48" s="30">
        <f>Table91112[[#This Row],[Enquiry Converted]]/Table91112[[#This Row],[Enquiry received]]</f>
        <v>0.4</v>
      </c>
    </row>
    <row r="49" spans="2:6">
      <c r="C49" s="31" t="s">
        <v>33</v>
      </c>
      <c r="D49" s="31">
        <v>4</v>
      </c>
      <c r="E49" s="31">
        <v>1</v>
      </c>
      <c r="F49" s="36">
        <f>Table91112[[#This Row],[Enquiry Converted]]/Table91112[[#This Row],[Enquiry received]]</f>
        <v>0.25</v>
      </c>
    </row>
    <row r="50" spans="2:6">
      <c r="C50" s="2" t="s">
        <v>34</v>
      </c>
      <c r="D50" s="2">
        <v>3</v>
      </c>
      <c r="E50" s="2">
        <v>1</v>
      </c>
      <c r="F50" s="30">
        <f>Table91112[[#This Row],[Enquiry Converted]]/Table91112[[#This Row],[Enquiry received]]</f>
        <v>0.33333333333333331</v>
      </c>
    </row>
    <row r="51" spans="2:6">
      <c r="B51" s="5" t="s">
        <v>35</v>
      </c>
      <c r="C51" s="2" t="s">
        <v>36</v>
      </c>
      <c r="D51" s="2">
        <v>3</v>
      </c>
      <c r="E51" s="2">
        <v>1</v>
      </c>
      <c r="F51" s="30">
        <f>Table91112[[#This Row],[Enquiry Converted]]/Table91112[[#This Row],[Enquiry received]]</f>
        <v>0.33333333333333331</v>
      </c>
    </row>
    <row r="52" spans="2:6">
      <c r="C52" s="31" t="s">
        <v>37</v>
      </c>
      <c r="D52" s="31">
        <v>3</v>
      </c>
      <c r="E52" s="31">
        <v>1</v>
      </c>
      <c r="F52" s="36">
        <f>Table91112[[#This Row],[Enquiry Converted]]/Table91112[[#This Row],[Enquiry received]]</f>
        <v>0.33333333333333331</v>
      </c>
    </row>
    <row r="53" spans="2:6">
      <c r="C53" s="2" t="s">
        <v>38</v>
      </c>
      <c r="D53" s="2">
        <v>4</v>
      </c>
      <c r="E53" s="2">
        <v>1</v>
      </c>
      <c r="F53" s="30">
        <f>Table91112[[#This Row],[Enquiry Converted]]/Table91112[[#This Row],[Enquiry received]]</f>
        <v>0.25</v>
      </c>
    </row>
    <row r="54" spans="2:6">
      <c r="C54" s="31" t="s">
        <v>39</v>
      </c>
      <c r="D54" s="31">
        <v>1</v>
      </c>
      <c r="E54" s="31">
        <v>1</v>
      </c>
      <c r="F54" s="36">
        <f>Table91112[[#This Row],[Enquiry Converted]]/Table91112[[#This Row],[Enquiry received]]</f>
        <v>1</v>
      </c>
    </row>
  </sheetData>
  <mergeCells count="1">
    <mergeCell ref="B1:F1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1:F19"/>
  <sheetViews>
    <sheetView workbookViewId="0">
      <selection activeCell="I11" sqref="I11"/>
    </sheetView>
  </sheetViews>
  <sheetFormatPr defaultRowHeight="15"/>
  <cols>
    <col min="3" max="3" width="22" bestFit="1" customWidth="1"/>
  </cols>
  <sheetData>
    <row r="1" spans="2:6">
      <c r="B1" s="47" t="s">
        <v>62</v>
      </c>
      <c r="C1" s="47"/>
      <c r="D1" s="47"/>
      <c r="E1" s="47"/>
      <c r="F1" s="47"/>
    </row>
    <row r="3" spans="2:6">
      <c r="B3" t="s">
        <v>7</v>
      </c>
      <c r="C3" s="27" t="s">
        <v>42</v>
      </c>
      <c r="D3" s="28" t="s">
        <v>3</v>
      </c>
      <c r="E3" s="28" t="s">
        <v>28</v>
      </c>
      <c r="F3" s="29" t="s">
        <v>40</v>
      </c>
    </row>
    <row r="4" spans="2:6">
      <c r="B4" t="s">
        <v>8</v>
      </c>
      <c r="C4" t="s">
        <v>23</v>
      </c>
      <c r="D4">
        <v>10</v>
      </c>
      <c r="E4">
        <v>10</v>
      </c>
      <c r="F4" s="6">
        <f>Table1226[[#This Row],[Enquiry Converted]]/Table1226[[#This Row],[Enquiry received]]</f>
        <v>1</v>
      </c>
    </row>
    <row r="5" spans="2:6">
      <c r="B5" t="s">
        <v>9</v>
      </c>
      <c r="C5" t="s">
        <v>23</v>
      </c>
      <c r="D5">
        <v>14</v>
      </c>
      <c r="E5">
        <v>12</v>
      </c>
      <c r="F5" s="6">
        <f>Table1226[[#This Row],[Enquiry Converted]]/Table1226[[#This Row],[Enquiry received]]</f>
        <v>0.8571428571428571</v>
      </c>
    </row>
    <row r="6" spans="2:6">
      <c r="B6" t="s">
        <v>10</v>
      </c>
      <c r="C6" t="s">
        <v>23</v>
      </c>
      <c r="D6">
        <v>14</v>
      </c>
      <c r="E6">
        <v>5</v>
      </c>
      <c r="F6" s="6">
        <f>Table1226[[#This Row],[Enquiry Converted]]/Table1226[[#This Row],[Enquiry received]]</f>
        <v>0.35714285714285715</v>
      </c>
    </row>
    <row r="7" spans="2:6">
      <c r="E7" t="s">
        <v>41</v>
      </c>
      <c r="F7" s="6">
        <f>SUM(Table1226[Win Rate])/3</f>
        <v>0.73809523809523814</v>
      </c>
    </row>
    <row r="9" spans="2:6">
      <c r="B9" t="s">
        <v>7</v>
      </c>
      <c r="C9" s="27" t="s">
        <v>42</v>
      </c>
      <c r="D9" s="28" t="s">
        <v>3</v>
      </c>
      <c r="E9" s="28" t="s">
        <v>28</v>
      </c>
      <c r="F9" s="29" t="s">
        <v>40</v>
      </c>
    </row>
    <row r="10" spans="2:6">
      <c r="B10" t="s">
        <v>8</v>
      </c>
      <c r="C10" t="s">
        <v>29</v>
      </c>
      <c r="D10">
        <v>20</v>
      </c>
      <c r="E10">
        <v>18</v>
      </c>
      <c r="F10" s="6">
        <f>Table1227[[#This Row],[Enquiry Converted]]/Table1227[[#This Row],[Enquiry received]]</f>
        <v>0.9</v>
      </c>
    </row>
    <row r="11" spans="2:6">
      <c r="B11" t="s">
        <v>9</v>
      </c>
      <c r="C11" t="s">
        <v>29</v>
      </c>
      <c r="D11">
        <v>9</v>
      </c>
      <c r="E11">
        <v>5</v>
      </c>
      <c r="F11" s="6">
        <f>Table1227[[#This Row],[Enquiry Converted]]/Table1227[[#This Row],[Enquiry received]]</f>
        <v>0.55555555555555558</v>
      </c>
    </row>
    <row r="12" spans="2:6">
      <c r="B12" t="s">
        <v>10</v>
      </c>
      <c r="C12" t="s">
        <v>29</v>
      </c>
      <c r="D12">
        <v>15</v>
      </c>
      <c r="E12">
        <v>6</v>
      </c>
      <c r="F12" s="6">
        <f>Table1227[[#This Row],[Enquiry Converted]]/Table1227[[#This Row],[Enquiry received]]</f>
        <v>0.4</v>
      </c>
    </row>
    <row r="13" spans="2:6">
      <c r="E13" t="s">
        <v>41</v>
      </c>
      <c r="F13" s="6">
        <f>SUM(Table1227[Win Rate])/3</f>
        <v>0.61851851851851858</v>
      </c>
    </row>
    <row r="15" spans="2:6">
      <c r="B15" t="s">
        <v>7</v>
      </c>
      <c r="C15" s="27" t="s">
        <v>42</v>
      </c>
      <c r="D15" s="28" t="s">
        <v>3</v>
      </c>
      <c r="E15" s="28" t="s">
        <v>28</v>
      </c>
      <c r="F15" s="29" t="s">
        <v>40</v>
      </c>
    </row>
    <row r="16" spans="2:6">
      <c r="B16" t="s">
        <v>8</v>
      </c>
      <c r="C16" t="s">
        <v>35</v>
      </c>
      <c r="D16">
        <v>20</v>
      </c>
      <c r="E16">
        <v>10</v>
      </c>
      <c r="F16" s="6">
        <f>Table1228[[#This Row],[Enquiry Converted]]/Table1228[[#This Row],[Enquiry received]]</f>
        <v>0.5</v>
      </c>
    </row>
    <row r="17" spans="2:6">
      <c r="B17" t="s">
        <v>9</v>
      </c>
      <c r="C17" t="s">
        <v>35</v>
      </c>
      <c r="D17">
        <v>7</v>
      </c>
      <c r="E17">
        <v>3</v>
      </c>
      <c r="F17" s="6">
        <f>Table1228[[#This Row],[Enquiry Converted]]/Table1228[[#This Row],[Enquiry received]]</f>
        <v>0.42857142857142855</v>
      </c>
    </row>
    <row r="18" spans="2:6">
      <c r="B18" t="s">
        <v>10</v>
      </c>
      <c r="C18" t="s">
        <v>35</v>
      </c>
      <c r="D18">
        <v>11</v>
      </c>
      <c r="E18">
        <v>4</v>
      </c>
      <c r="F18" s="6">
        <f>Table1228[[#This Row],[Enquiry Converted]]/Table1228[[#This Row],[Enquiry received]]</f>
        <v>0.36363636363636365</v>
      </c>
    </row>
    <row r="19" spans="2:6">
      <c r="E19" t="s">
        <v>41</v>
      </c>
      <c r="F19" s="6">
        <f>SUM(Table1228[Win Rate])/3</f>
        <v>0.43073593073593069</v>
      </c>
    </row>
  </sheetData>
  <mergeCells count="1">
    <mergeCell ref="B1:F1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2:G11"/>
  <sheetViews>
    <sheetView topLeftCell="A7" workbookViewId="0">
      <selection activeCell="H28" sqref="H28"/>
    </sheetView>
  </sheetViews>
  <sheetFormatPr defaultRowHeight="15"/>
  <cols>
    <col min="2" max="2" width="27" bestFit="1" customWidth="1"/>
    <col min="3" max="3" width="23" customWidth="1"/>
    <col min="4" max="4" width="26.5703125" customWidth="1"/>
    <col min="5" max="5" width="12.5703125" customWidth="1"/>
    <col min="6" max="6" width="21.85546875" customWidth="1"/>
    <col min="7" max="7" width="21.28515625" customWidth="1"/>
  </cols>
  <sheetData>
    <row r="2" spans="1:7">
      <c r="A2" s="47" t="s">
        <v>13</v>
      </c>
      <c r="B2" s="47"/>
      <c r="C2" s="47"/>
      <c r="D2" s="47"/>
      <c r="E2" s="47"/>
      <c r="F2" s="47"/>
      <c r="G2" s="47"/>
    </row>
    <row r="5" spans="1:7">
      <c r="A5" t="s">
        <v>7</v>
      </c>
      <c r="B5" s="38" t="s">
        <v>43</v>
      </c>
      <c r="C5" s="9" t="s">
        <v>15</v>
      </c>
      <c r="D5" s="9" t="s">
        <v>16</v>
      </c>
      <c r="E5" s="9" t="s">
        <v>17</v>
      </c>
      <c r="F5" s="9" t="s">
        <v>18</v>
      </c>
      <c r="G5" s="23" t="s">
        <v>21</v>
      </c>
    </row>
    <row r="6" spans="1:7">
      <c r="A6" t="s">
        <v>8</v>
      </c>
      <c r="B6" s="14" t="s">
        <v>44</v>
      </c>
      <c r="C6" s="14">
        <v>10</v>
      </c>
      <c r="D6" s="14">
        <v>2</v>
      </c>
      <c r="E6">
        <f>C6-D6</f>
        <v>8</v>
      </c>
      <c r="F6" s="6">
        <f>Table15[[#This Row],[Completed Due-date tasks]]/Table15[[#This Row],[Due-date tasks alloted]]</f>
        <v>0.2</v>
      </c>
      <c r="G6" s="6">
        <f>Table15[[#This Row],[Remaining]]/Table15[[#This Row],[Due-date tasks alloted]]</f>
        <v>0.8</v>
      </c>
    </row>
    <row r="7" spans="1:7">
      <c r="B7" s="14" t="s">
        <v>45</v>
      </c>
      <c r="C7" s="14">
        <v>19</v>
      </c>
      <c r="D7" s="14">
        <v>2</v>
      </c>
      <c r="E7">
        <f>C7-D7</f>
        <v>17</v>
      </c>
      <c r="F7" s="6">
        <f>Table15[[#This Row],[Completed Due-date tasks]]/Table15[[#This Row],[Due-date tasks alloted]]</f>
        <v>0.10526315789473684</v>
      </c>
      <c r="G7" s="6">
        <f>Table15[[#This Row],[Remaining]]/Table15[[#This Row],[Due-date tasks alloted]]</f>
        <v>0.89473684210526316</v>
      </c>
    </row>
    <row r="8" spans="1:7">
      <c r="A8" t="s">
        <v>9</v>
      </c>
      <c r="B8" s="39" t="s">
        <v>44</v>
      </c>
      <c r="C8" s="40">
        <v>10</v>
      </c>
      <c r="D8" s="40">
        <v>2</v>
      </c>
      <c r="E8">
        <f>Table15[[#This Row],[Due-date tasks alloted]]-Table15[[#This Row],[Completed Due-date tasks]]</f>
        <v>8</v>
      </c>
      <c r="F8" s="6">
        <f>Table15[[#This Row],[Completed Due-date tasks]]/Table15[[#This Row],[Due-date tasks alloted]]</f>
        <v>0.2</v>
      </c>
      <c r="G8" s="6">
        <f>Table15[[#This Row],[Remaining]]/Table15[[#This Row],[Due-date tasks alloted]]</f>
        <v>0.8</v>
      </c>
    </row>
    <row r="9" spans="1:7">
      <c r="B9" s="39" t="s">
        <v>45</v>
      </c>
      <c r="C9" s="40">
        <v>20</v>
      </c>
      <c r="D9" s="40">
        <v>8</v>
      </c>
      <c r="E9">
        <f>Table15[[#This Row],[Due-date tasks alloted]]-Table15[[#This Row],[Completed Due-date tasks]]</f>
        <v>12</v>
      </c>
      <c r="F9" s="6">
        <f>Table15[[#This Row],[Completed Due-date tasks]]/Table15[[#This Row],[Due-date tasks alloted]]</f>
        <v>0.4</v>
      </c>
      <c r="G9" s="6">
        <f>Table15[[#This Row],[Remaining]]/Table15[[#This Row],[Due-date tasks alloted]]</f>
        <v>0.6</v>
      </c>
    </row>
    <row r="10" spans="1:7">
      <c r="A10" t="s">
        <v>10</v>
      </c>
      <c r="B10" s="39" t="s">
        <v>44</v>
      </c>
      <c r="C10" s="40">
        <v>20</v>
      </c>
      <c r="D10" s="40">
        <v>10</v>
      </c>
      <c r="E10">
        <v>10</v>
      </c>
      <c r="F10" s="6">
        <f>Table15[[#This Row],[Completed Due-date tasks]]/Table15[[#This Row],[Due-date tasks alloted]]</f>
        <v>0.5</v>
      </c>
      <c r="G10" s="41">
        <f>Table15[[#This Row],[Remaining]]/Table15[[#This Row],[Due-date tasks alloted]]</f>
        <v>0.5</v>
      </c>
    </row>
    <row r="11" spans="1:7">
      <c r="B11" s="39" t="s">
        <v>45</v>
      </c>
      <c r="C11" s="40">
        <v>20</v>
      </c>
      <c r="D11" s="40">
        <v>10</v>
      </c>
      <c r="E11">
        <v>10</v>
      </c>
      <c r="F11" s="6">
        <f>Table15[[#This Row],[Completed Due-date tasks]]/Table15[[#This Row],[Due-date tasks alloted]]</f>
        <v>0.5</v>
      </c>
      <c r="G11" s="41">
        <f>Table15[[#This Row],[Remaining]]/Table15[[#This Row],[Due-date tasks alloted]]</f>
        <v>0.5</v>
      </c>
    </row>
  </sheetData>
  <mergeCells count="1">
    <mergeCell ref="A2:G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B2:G27"/>
  <sheetViews>
    <sheetView topLeftCell="A7" workbookViewId="0">
      <selection activeCell="L20" sqref="L20"/>
    </sheetView>
  </sheetViews>
  <sheetFormatPr defaultRowHeight="15"/>
  <cols>
    <col min="3" max="3" width="17.28515625" customWidth="1"/>
    <col min="4" max="4" width="12.7109375" customWidth="1"/>
    <col min="5" max="5" width="12.5703125" customWidth="1"/>
    <col min="6" max="6" width="21.85546875" customWidth="1"/>
    <col min="7" max="7" width="21.28515625" customWidth="1"/>
    <col min="11" max="11" width="31" bestFit="1" customWidth="1"/>
    <col min="12" max="12" width="34.42578125" bestFit="1" customWidth="1"/>
    <col min="13" max="13" width="12.5703125" customWidth="1"/>
    <col min="14" max="14" width="11.42578125" customWidth="1"/>
    <col min="15" max="15" width="12.42578125" customWidth="1"/>
  </cols>
  <sheetData>
    <row r="2" spans="2:7">
      <c r="B2" t="s">
        <v>63</v>
      </c>
    </row>
    <row r="4" spans="2:7">
      <c r="B4" t="s">
        <v>7</v>
      </c>
      <c r="C4" s="9" t="s">
        <v>48</v>
      </c>
      <c r="D4" s="9" t="s">
        <v>49</v>
      </c>
      <c r="E4" s="9" t="s">
        <v>17</v>
      </c>
      <c r="F4" s="9" t="s">
        <v>18</v>
      </c>
      <c r="G4" s="23" t="s">
        <v>21</v>
      </c>
    </row>
    <row r="5" spans="2:7">
      <c r="B5" t="s">
        <v>8</v>
      </c>
      <c r="C5" s="10">
        <v>19</v>
      </c>
      <c r="D5" s="10">
        <v>2</v>
      </c>
      <c r="E5" s="31">
        <f>C5-D5</f>
        <v>17</v>
      </c>
      <c r="F5" s="36">
        <f>Table22[[#This Row],[completed]]/Table22[[#This Row],[GST task alloted]]</f>
        <v>0.10526315789473684</v>
      </c>
      <c r="G5" s="34">
        <f>Table22[[#This Row],[Remaining]]/Table22[[#This Row],[GST task alloted]]</f>
        <v>0.89473684210526316</v>
      </c>
    </row>
    <row r="6" spans="2:7">
      <c r="B6" t="s">
        <v>9</v>
      </c>
      <c r="C6" s="40">
        <v>20</v>
      </c>
      <c r="D6" s="40">
        <v>8</v>
      </c>
      <c r="E6">
        <f>Table22[[#This Row],[GST task alloted]]-Table22[[#This Row],[completed]]</f>
        <v>12</v>
      </c>
      <c r="F6" s="36">
        <f>Table22[[#This Row],[completed]]/Table22[[#This Row],[GST task alloted]]</f>
        <v>0.4</v>
      </c>
      <c r="G6" s="34">
        <f>Table22[[#This Row],[Remaining]]/Table22[[#This Row],[GST task alloted]]</f>
        <v>0.6</v>
      </c>
    </row>
    <row r="7" spans="2:7">
      <c r="B7" t="s">
        <v>10</v>
      </c>
      <c r="C7" s="40">
        <v>20</v>
      </c>
      <c r="D7" s="40">
        <v>10</v>
      </c>
      <c r="E7">
        <v>10</v>
      </c>
      <c r="F7" s="36">
        <f>Table22[[#This Row],[completed]]/Table22[[#This Row],[GST task alloted]]</f>
        <v>0.5</v>
      </c>
      <c r="G7" s="34">
        <f>Table22[[#This Row],[Remaining]]/Table22[[#This Row],[GST task alloted]]</f>
        <v>0.5</v>
      </c>
    </row>
    <row r="24" spans="2:7">
      <c r="B24" s="42" t="s">
        <v>7</v>
      </c>
      <c r="C24" s="42" t="s">
        <v>46</v>
      </c>
      <c r="D24" s="42" t="s">
        <v>47</v>
      </c>
      <c r="E24" s="18" t="s">
        <v>17</v>
      </c>
      <c r="F24" s="18" t="s">
        <v>18</v>
      </c>
      <c r="G24" s="19" t="s">
        <v>21</v>
      </c>
    </row>
    <row r="25" spans="2:7">
      <c r="B25" t="s">
        <v>8</v>
      </c>
      <c r="C25">
        <v>10</v>
      </c>
      <c r="D25">
        <v>2</v>
      </c>
      <c r="E25">
        <v>8</v>
      </c>
      <c r="F25" s="6">
        <f>Table2024[[#This Row],[Income-tax Return task completed]]/Table2024[[#This Row],[Income-tax Return task alloted]]</f>
        <v>0.2</v>
      </c>
      <c r="G25" s="6">
        <f>Table2024[[#This Row],[Remaining]]/Table2024[[#This Row],[Income-tax Return task alloted]]</f>
        <v>0.8</v>
      </c>
    </row>
    <row r="26" spans="2:7">
      <c r="B26" t="s">
        <v>9</v>
      </c>
      <c r="C26">
        <v>10</v>
      </c>
      <c r="D26">
        <v>2</v>
      </c>
      <c r="E26">
        <v>8</v>
      </c>
      <c r="F26" s="6">
        <f>Table2024[[#This Row],[Income-tax Return task completed]]/Table2024[[#This Row],[Income-tax Return task alloted]]</f>
        <v>0.2</v>
      </c>
      <c r="G26" s="6">
        <f>Table2024[[#This Row],[Remaining]]/Table2024[[#This Row],[Income-tax Return task alloted]]</f>
        <v>0.8</v>
      </c>
    </row>
    <row r="27" spans="2:7">
      <c r="B27" t="s">
        <v>10</v>
      </c>
      <c r="C27">
        <v>20</v>
      </c>
      <c r="D27">
        <v>10</v>
      </c>
      <c r="E27">
        <v>10</v>
      </c>
      <c r="F27" s="6">
        <f>Table2024[[#This Row],[Income-tax Return task completed]]/Table2024[[#This Row],[Income-tax Return task alloted]]</f>
        <v>0.5</v>
      </c>
      <c r="G27" s="6">
        <f>Table2024[[#This Row],[Remaining]]/Table2024[[#This Row],[Income-tax Return task alloted]]</f>
        <v>0.5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V1:AB13"/>
  <sheetViews>
    <sheetView topLeftCell="U1" workbookViewId="0">
      <selection activeCell="AD18" sqref="AD18"/>
    </sheetView>
  </sheetViews>
  <sheetFormatPr defaultRowHeight="15"/>
  <cols>
    <col min="23" max="23" width="27.140625" bestFit="1" customWidth="1"/>
    <col min="24" max="24" width="10.42578125" customWidth="1"/>
    <col min="25" max="25" width="12.7109375" customWidth="1"/>
    <col min="26" max="26" width="12.5703125" customWidth="1"/>
    <col min="27" max="27" width="21.85546875" customWidth="1"/>
    <col min="28" max="28" width="21.28515625" customWidth="1"/>
  </cols>
  <sheetData>
    <row r="1" spans="22:28">
      <c r="V1" s="47" t="s">
        <v>64</v>
      </c>
      <c r="W1" s="47"/>
      <c r="X1" s="47"/>
      <c r="Y1" s="47"/>
      <c r="Z1" s="47"/>
      <c r="AA1" s="47"/>
      <c r="AB1" s="46"/>
    </row>
    <row r="4" spans="22:28">
      <c r="V4" t="s">
        <v>7</v>
      </c>
      <c r="W4" t="s">
        <v>68</v>
      </c>
      <c r="X4" t="s">
        <v>69</v>
      </c>
      <c r="Y4" t="s">
        <v>49</v>
      </c>
      <c r="Z4" t="s">
        <v>17</v>
      </c>
      <c r="AA4" t="s">
        <v>18</v>
      </c>
      <c r="AB4" t="s">
        <v>21</v>
      </c>
    </row>
    <row r="5" spans="22:28">
      <c r="V5" t="s">
        <v>8</v>
      </c>
      <c r="W5" t="s">
        <v>65</v>
      </c>
      <c r="X5">
        <v>5</v>
      </c>
      <c r="Y5">
        <v>2</v>
      </c>
      <c r="Z5">
        <f>Table3[[#This Row],[Allotted]]-Table3[[#This Row],[completed]]</f>
        <v>3</v>
      </c>
      <c r="AA5" s="6">
        <f>Table3[[#This Row],[completed]]/Table3[[#This Row],[Allotted]]</f>
        <v>0.4</v>
      </c>
      <c r="AB5" s="6">
        <f>Table3[[#This Row],[Remaining]]/Table3[[#This Row],[Allotted]]</f>
        <v>0.6</v>
      </c>
    </row>
    <row r="6" spans="22:28">
      <c r="W6" t="s">
        <v>66</v>
      </c>
      <c r="X6">
        <v>5</v>
      </c>
      <c r="Y6">
        <v>3</v>
      </c>
      <c r="Z6">
        <f>Table3[[#This Row],[Allotted]]-Table3[[#This Row],[completed]]</f>
        <v>2</v>
      </c>
      <c r="AA6" s="6">
        <f>Table3[[#This Row],[completed]]/Table3[[#This Row],[Allotted]]</f>
        <v>0.6</v>
      </c>
      <c r="AB6" s="6">
        <f>Table3[[#This Row],[Remaining]]/Table3[[#This Row],[Allotted]]</f>
        <v>0.4</v>
      </c>
    </row>
    <row r="7" spans="22:28">
      <c r="W7" t="s">
        <v>67</v>
      </c>
      <c r="X7">
        <v>1</v>
      </c>
      <c r="Y7">
        <v>1</v>
      </c>
      <c r="Z7">
        <f>Table3[[#This Row],[Allotted]]-Table3[[#This Row],[completed]]</f>
        <v>0</v>
      </c>
      <c r="AA7" s="6">
        <f>Table3[[#This Row],[completed]]/Table3[[#This Row],[Allotted]]</f>
        <v>1</v>
      </c>
      <c r="AB7" s="6">
        <f>Table3[[#This Row],[Remaining]]/Table3[[#This Row],[Allotted]]</f>
        <v>0</v>
      </c>
    </row>
    <row r="8" spans="22:28">
      <c r="V8" t="s">
        <v>9</v>
      </c>
      <c r="W8" t="s">
        <v>65</v>
      </c>
      <c r="X8">
        <v>4</v>
      </c>
      <c r="Y8">
        <v>3</v>
      </c>
      <c r="Z8">
        <f>Table3[[#This Row],[Allotted]]-Table3[[#This Row],[completed]]</f>
        <v>1</v>
      </c>
      <c r="AA8" s="6">
        <f>Table3[[#This Row],[completed]]/Table3[[#This Row],[Allotted]]</f>
        <v>0.75</v>
      </c>
      <c r="AB8" s="6">
        <f>Table3[[#This Row],[Remaining]]/Table3[[#This Row],[Allotted]]</f>
        <v>0.25</v>
      </c>
    </row>
    <row r="9" spans="22:28">
      <c r="W9" t="s">
        <v>66</v>
      </c>
      <c r="X9">
        <v>6</v>
      </c>
      <c r="Y9">
        <v>4</v>
      </c>
      <c r="Z9">
        <f>Table3[[#This Row],[Allotted]]-Table3[[#This Row],[completed]]</f>
        <v>2</v>
      </c>
      <c r="AA9" s="6">
        <f>Table3[[#This Row],[completed]]/Table3[[#This Row],[Allotted]]</f>
        <v>0.66666666666666663</v>
      </c>
      <c r="AB9" s="6">
        <f>Table3[[#This Row],[Remaining]]/Table3[[#This Row],[Allotted]]</f>
        <v>0.33333333333333331</v>
      </c>
    </row>
    <row r="10" spans="22:28">
      <c r="W10" t="s">
        <v>67</v>
      </c>
      <c r="X10">
        <v>5</v>
      </c>
      <c r="Y10">
        <v>3</v>
      </c>
      <c r="Z10">
        <f>Table3[[#This Row],[Allotted]]-Table3[[#This Row],[completed]]</f>
        <v>2</v>
      </c>
      <c r="AA10" s="6">
        <f>Table3[[#This Row],[completed]]/Table3[[#This Row],[Allotted]]</f>
        <v>0.6</v>
      </c>
      <c r="AB10" s="6">
        <f>Table3[[#This Row],[Remaining]]/Table3[[#This Row],[Allotted]]</f>
        <v>0.4</v>
      </c>
    </row>
    <row r="11" spans="22:28">
      <c r="V11" t="s">
        <v>10</v>
      </c>
      <c r="W11" t="s">
        <v>65</v>
      </c>
      <c r="X11">
        <v>8</v>
      </c>
      <c r="Y11">
        <v>8</v>
      </c>
      <c r="Z11">
        <f>Table3[[#This Row],[Allotted]]-Table3[[#This Row],[completed]]</f>
        <v>0</v>
      </c>
      <c r="AA11" s="6">
        <f>Table3[[#This Row],[completed]]/Table3[[#This Row],[Allotted]]</f>
        <v>1</v>
      </c>
      <c r="AB11" s="6">
        <f>Table3[[#This Row],[Remaining]]/Table3[[#This Row],[Allotted]]</f>
        <v>0</v>
      </c>
    </row>
    <row r="12" spans="22:28">
      <c r="W12" t="s">
        <v>66</v>
      </c>
      <c r="X12">
        <v>9</v>
      </c>
      <c r="Y12">
        <v>6</v>
      </c>
      <c r="Z12">
        <f>Table3[[#This Row],[Allotted]]-Table3[[#This Row],[completed]]</f>
        <v>3</v>
      </c>
      <c r="AA12" s="6">
        <f>Table3[[#This Row],[completed]]/Table3[[#This Row],[Allotted]]</f>
        <v>0.66666666666666663</v>
      </c>
      <c r="AB12" s="6">
        <f>Table3[[#This Row],[Remaining]]/Table3[[#This Row],[Allotted]]</f>
        <v>0.33333333333333331</v>
      </c>
    </row>
    <row r="13" spans="22:28">
      <c r="W13" t="s">
        <v>67</v>
      </c>
      <c r="X13">
        <v>8</v>
      </c>
      <c r="Y13">
        <v>6</v>
      </c>
      <c r="Z13">
        <f>Table3[[#This Row],[Allotted]]-Table3[[#This Row],[completed]]</f>
        <v>2</v>
      </c>
      <c r="AA13" s="6">
        <f>Table3[[#This Row],[completed]]/Table3[[#This Row],[Allotted]]</f>
        <v>0.75</v>
      </c>
      <c r="AB13" s="6">
        <f>Table3[[#This Row],[Remaining]]/Table3[[#This Row],[Allotted]]</f>
        <v>0.25</v>
      </c>
    </row>
  </sheetData>
  <mergeCells count="1">
    <mergeCell ref="V1:AA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H48"/>
  <sheetViews>
    <sheetView workbookViewId="0">
      <selection activeCell="I7" sqref="I7"/>
    </sheetView>
  </sheetViews>
  <sheetFormatPr defaultRowHeight="15"/>
  <cols>
    <col min="3" max="3" width="27.140625" bestFit="1" customWidth="1"/>
  </cols>
  <sheetData>
    <row r="1" spans="1:8">
      <c r="B1" s="47" t="s">
        <v>70</v>
      </c>
      <c r="C1" s="47"/>
      <c r="D1" s="47"/>
      <c r="E1" s="47"/>
      <c r="F1" s="47"/>
      <c r="G1" s="47"/>
      <c r="H1" s="47"/>
    </row>
    <row r="3" spans="1:8">
      <c r="A3">
        <v>1</v>
      </c>
      <c r="B3" t="s">
        <v>7</v>
      </c>
      <c r="C3" t="s">
        <v>68</v>
      </c>
      <c r="D3" t="s">
        <v>69</v>
      </c>
      <c r="E3" t="s">
        <v>49</v>
      </c>
      <c r="F3" t="s">
        <v>17</v>
      </c>
      <c r="G3" t="s">
        <v>18</v>
      </c>
      <c r="H3" t="s">
        <v>21</v>
      </c>
    </row>
    <row r="4" spans="1:8">
      <c r="B4" t="s">
        <v>8</v>
      </c>
      <c r="C4" t="s">
        <v>65</v>
      </c>
      <c r="D4">
        <v>5</v>
      </c>
      <c r="E4">
        <v>2</v>
      </c>
      <c r="F4">
        <f>Table35[[#This Row],[Allotted]]-Table35[[#This Row],[completed]]</f>
        <v>3</v>
      </c>
      <c r="G4" s="6">
        <f>Table35[[#This Row],[completed]]/Table35[[#This Row],[Allotted]]</f>
        <v>0.4</v>
      </c>
      <c r="H4" s="6">
        <f>Table35[[#This Row],[Remaining]]/Table35[[#This Row],[Allotted]]</f>
        <v>0.6</v>
      </c>
    </row>
    <row r="5" spans="1:8">
      <c r="B5" t="s">
        <v>9</v>
      </c>
      <c r="C5" t="s">
        <v>65</v>
      </c>
      <c r="D5">
        <v>4</v>
      </c>
      <c r="E5">
        <v>3</v>
      </c>
      <c r="F5">
        <f>Table35[[#This Row],[Allotted]]-Table35[[#This Row],[completed]]</f>
        <v>1</v>
      </c>
      <c r="G5" s="6">
        <f>Table35[[#This Row],[completed]]/Table35[[#This Row],[Allotted]]</f>
        <v>0.75</v>
      </c>
      <c r="H5" s="6">
        <f>Table35[[#This Row],[Remaining]]/Table35[[#This Row],[Allotted]]</f>
        <v>0.25</v>
      </c>
    </row>
    <row r="6" spans="1:8">
      <c r="B6" t="s">
        <v>10</v>
      </c>
      <c r="C6" t="s">
        <v>65</v>
      </c>
      <c r="D6">
        <v>8</v>
      </c>
      <c r="E6">
        <v>8</v>
      </c>
      <c r="F6">
        <f>Table35[[#This Row],[Allotted]]-Table35[[#This Row],[completed]]</f>
        <v>0</v>
      </c>
      <c r="G6" s="6">
        <f>Table35[[#This Row],[completed]]/Table35[[#This Row],[Allotted]]</f>
        <v>1</v>
      </c>
      <c r="H6" s="6">
        <f>Table35[[#This Row],[Remaining]]/Table35[[#This Row],[Allotted]]</f>
        <v>0</v>
      </c>
    </row>
    <row r="24" spans="1:8">
      <c r="A24">
        <v>2</v>
      </c>
      <c r="B24" t="s">
        <v>7</v>
      </c>
      <c r="C24" t="s">
        <v>68</v>
      </c>
      <c r="D24" t="s">
        <v>69</v>
      </c>
      <c r="E24" t="s">
        <v>49</v>
      </c>
      <c r="F24" t="s">
        <v>17</v>
      </c>
      <c r="G24" t="s">
        <v>18</v>
      </c>
      <c r="H24" t="s">
        <v>21</v>
      </c>
    </row>
    <row r="25" spans="1:8">
      <c r="B25" t="s">
        <v>8</v>
      </c>
      <c r="C25" t="s">
        <v>66</v>
      </c>
      <c r="D25">
        <v>5</v>
      </c>
      <c r="E25">
        <v>3</v>
      </c>
      <c r="F25">
        <f>Table37[[#This Row],[Allotted]]-Table37[[#This Row],[completed]]</f>
        <v>2</v>
      </c>
      <c r="G25" s="6">
        <f>Table37[[#This Row],[completed]]/Table37[[#This Row],[Allotted]]</f>
        <v>0.6</v>
      </c>
      <c r="H25" s="6">
        <f>Table37[[#This Row],[Remaining]]/Table37[[#This Row],[Allotted]]</f>
        <v>0.4</v>
      </c>
    </row>
    <row r="26" spans="1:8">
      <c r="B26" t="s">
        <v>9</v>
      </c>
      <c r="C26" t="s">
        <v>66</v>
      </c>
      <c r="D26">
        <v>6</v>
      </c>
      <c r="E26">
        <v>4</v>
      </c>
      <c r="F26">
        <f>Table37[[#This Row],[Allotted]]-Table37[[#This Row],[completed]]</f>
        <v>2</v>
      </c>
      <c r="G26" s="6">
        <f>Table37[[#This Row],[completed]]/Table37[[#This Row],[Allotted]]</f>
        <v>0.66666666666666663</v>
      </c>
      <c r="H26" s="6">
        <f>Table37[[#This Row],[Remaining]]/Table37[[#This Row],[Allotted]]</f>
        <v>0.33333333333333331</v>
      </c>
    </row>
    <row r="27" spans="1:8">
      <c r="B27" t="s">
        <v>10</v>
      </c>
      <c r="C27" t="s">
        <v>66</v>
      </c>
      <c r="D27">
        <v>9</v>
      </c>
      <c r="E27">
        <v>6</v>
      </c>
      <c r="F27">
        <f>Table37[[#This Row],[Allotted]]-Table37[[#This Row],[completed]]</f>
        <v>3</v>
      </c>
      <c r="G27" s="6">
        <f>Table37[[#This Row],[completed]]/Table37[[#This Row],[Allotted]]</f>
        <v>0.66666666666666663</v>
      </c>
      <c r="H27" s="6">
        <f>Table37[[#This Row],[Remaining]]/Table37[[#This Row],[Allotted]]</f>
        <v>0.33333333333333331</v>
      </c>
    </row>
    <row r="45" spans="1:8">
      <c r="A45">
        <v>3</v>
      </c>
      <c r="B45" t="s">
        <v>7</v>
      </c>
      <c r="C45" t="s">
        <v>68</v>
      </c>
      <c r="D45" t="s">
        <v>69</v>
      </c>
      <c r="E45" t="s">
        <v>49</v>
      </c>
      <c r="F45" t="s">
        <v>17</v>
      </c>
      <c r="G45" t="s">
        <v>18</v>
      </c>
      <c r="H45" t="s">
        <v>21</v>
      </c>
    </row>
    <row r="46" spans="1:8">
      <c r="B46" t="s">
        <v>8</v>
      </c>
      <c r="C46" t="s">
        <v>67</v>
      </c>
      <c r="D46">
        <v>1</v>
      </c>
      <c r="E46">
        <v>1</v>
      </c>
      <c r="F46">
        <f>Table38[[#This Row],[Allotted]]-Table38[[#This Row],[completed]]</f>
        <v>0</v>
      </c>
      <c r="G46" s="6">
        <f>Table38[[#This Row],[completed]]/Table38[[#This Row],[Allotted]]</f>
        <v>1</v>
      </c>
      <c r="H46" s="6">
        <f>Table38[[#This Row],[Remaining]]/Table38[[#This Row],[Allotted]]</f>
        <v>0</v>
      </c>
    </row>
    <row r="47" spans="1:8">
      <c r="B47" t="s">
        <v>9</v>
      </c>
      <c r="C47" t="s">
        <v>67</v>
      </c>
      <c r="D47">
        <v>5</v>
      </c>
      <c r="E47">
        <v>3</v>
      </c>
      <c r="F47">
        <f>Table38[[#This Row],[Allotted]]-Table38[[#This Row],[completed]]</f>
        <v>2</v>
      </c>
      <c r="G47" s="6">
        <f>Table38[[#This Row],[completed]]/Table38[[#This Row],[Allotted]]</f>
        <v>0.6</v>
      </c>
      <c r="H47" s="6">
        <f>Table38[[#This Row],[Remaining]]/Table38[[#This Row],[Allotted]]</f>
        <v>0.4</v>
      </c>
    </row>
    <row r="48" spans="1:8">
      <c r="B48" t="s">
        <v>10</v>
      </c>
      <c r="C48" t="s">
        <v>67</v>
      </c>
      <c r="D48">
        <v>8</v>
      </c>
      <c r="E48">
        <v>6</v>
      </c>
      <c r="F48">
        <f>Table38[[#This Row],[Allotted]]-Table38[[#This Row],[completed]]</f>
        <v>2</v>
      </c>
      <c r="G48" s="6">
        <f>Table38[[#This Row],[completed]]/Table38[[#This Row],[Allotted]]</f>
        <v>0.75</v>
      </c>
      <c r="H48" s="6">
        <f>Table38[[#This Row],[Remaining]]/Table38[[#This Row],[Allotted]]</f>
        <v>0.25</v>
      </c>
    </row>
  </sheetData>
  <mergeCells count="1">
    <mergeCell ref="B1:H1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B2:E24"/>
  <sheetViews>
    <sheetView tabSelected="1" workbookViewId="0">
      <selection activeCell="F21" sqref="F21"/>
    </sheetView>
  </sheetViews>
  <sheetFormatPr defaultRowHeight="15"/>
  <cols>
    <col min="3" max="3" width="17" bestFit="1" customWidth="1"/>
    <col min="4" max="4" width="37.140625" bestFit="1" customWidth="1"/>
    <col min="5" max="6" width="9.7109375" bestFit="1" customWidth="1"/>
    <col min="9" max="9" width="17.42578125" customWidth="1"/>
    <col min="10" max="10" width="13" customWidth="1"/>
    <col min="11" max="11" width="19.28515625" customWidth="1"/>
  </cols>
  <sheetData>
    <row r="2" spans="2:5">
      <c r="B2" s="47" t="s">
        <v>59</v>
      </c>
      <c r="C2" s="47"/>
      <c r="D2" s="47"/>
      <c r="E2" s="47"/>
    </row>
    <row r="4" spans="2:5">
      <c r="B4" s="37" t="s">
        <v>7</v>
      </c>
      <c r="C4" s="37" t="s">
        <v>55</v>
      </c>
      <c r="D4" s="37" t="s">
        <v>56</v>
      </c>
      <c r="E4" s="43" t="s">
        <v>57</v>
      </c>
    </row>
    <row r="5" spans="2:5">
      <c r="B5" t="s">
        <v>8</v>
      </c>
      <c r="C5" s="2" t="s">
        <v>51</v>
      </c>
      <c r="D5">
        <v>3</v>
      </c>
      <c r="E5" s="6">
        <f>Table24[[#This Row],[No. of leave taken]]/Table24[[#Totals],[No. of leave taken]]</f>
        <v>0.15789473684210525</v>
      </c>
    </row>
    <row r="6" spans="2:5">
      <c r="C6" s="31" t="s">
        <v>52</v>
      </c>
      <c r="D6">
        <v>4</v>
      </c>
      <c r="E6" s="6">
        <f>Table24[[#This Row],[No. of leave taken]]/Table24[[#Totals],[No. of leave taken]]</f>
        <v>0.21052631578947367</v>
      </c>
    </row>
    <row r="7" spans="2:5">
      <c r="C7" s="2" t="s">
        <v>53</v>
      </c>
      <c r="D7">
        <v>0</v>
      </c>
      <c r="E7" s="6">
        <f>Table24[[#This Row],[No. of leave taken]]/Table24[[#Totals],[No. of leave taken]]</f>
        <v>0</v>
      </c>
    </row>
    <row r="8" spans="2:5">
      <c r="C8" s="31" t="s">
        <v>54</v>
      </c>
      <c r="D8">
        <v>2</v>
      </c>
      <c r="E8" s="6">
        <f>Table24[[#This Row],[No. of leave taken]]/Table24[[#Totals],[No. of leave taken]]</f>
        <v>0.10526315789473684</v>
      </c>
    </row>
    <row r="9" spans="2:5">
      <c r="B9" t="s">
        <v>9</v>
      </c>
      <c r="C9" s="2" t="s">
        <v>51</v>
      </c>
      <c r="D9">
        <v>1</v>
      </c>
      <c r="E9" s="6">
        <f>Table24[[#This Row],[No. of leave taken]]/Table24[[#Totals],[No. of leave taken]]</f>
        <v>5.2631578947368418E-2</v>
      </c>
    </row>
    <row r="10" spans="2:5">
      <c r="C10" s="31" t="s">
        <v>52</v>
      </c>
      <c r="D10">
        <v>2</v>
      </c>
      <c r="E10" s="6">
        <f>Table24[[#This Row],[No. of leave taken]]/Table24[[#Totals],[No. of leave taken]]</f>
        <v>0.10526315789473684</v>
      </c>
    </row>
    <row r="11" spans="2:5">
      <c r="C11" s="2" t="s">
        <v>53</v>
      </c>
      <c r="D11">
        <v>0</v>
      </c>
      <c r="E11" s="6">
        <f>Table24[[#This Row],[No. of leave taken]]/Table24[[#Totals],[No. of leave taken]]</f>
        <v>0</v>
      </c>
    </row>
    <row r="12" spans="2:5">
      <c r="C12" s="31" t="s">
        <v>54</v>
      </c>
      <c r="D12">
        <v>2</v>
      </c>
      <c r="E12" s="6">
        <f>Table24[[#This Row],[No. of leave taken]]/Table24[[#Totals],[No. of leave taken]]</f>
        <v>0.10526315789473684</v>
      </c>
    </row>
    <row r="13" spans="2:5">
      <c r="B13" t="s">
        <v>10</v>
      </c>
      <c r="C13" s="2" t="s">
        <v>51</v>
      </c>
      <c r="D13">
        <v>2</v>
      </c>
      <c r="E13" s="6">
        <f>Table24[[#This Row],[No. of leave taken]]/Table24[[#Totals],[No. of leave taken]]</f>
        <v>0.10526315789473684</v>
      </c>
    </row>
    <row r="14" spans="2:5">
      <c r="C14" s="31" t="s">
        <v>52</v>
      </c>
      <c r="D14">
        <v>0</v>
      </c>
      <c r="E14" s="6">
        <f>Table24[[#This Row],[No. of leave taken]]/Table24[[#Totals],[No. of leave taken]]</f>
        <v>0</v>
      </c>
    </row>
    <row r="15" spans="2:5">
      <c r="C15" s="2" t="s">
        <v>53</v>
      </c>
      <c r="D15">
        <v>0</v>
      </c>
      <c r="E15" s="6">
        <f>Table24[[#This Row],[No. of leave taken]]/Table24[[#Totals],[No. of leave taken]]</f>
        <v>0</v>
      </c>
    </row>
    <row r="16" spans="2:5">
      <c r="C16" s="31" t="s">
        <v>54</v>
      </c>
      <c r="D16">
        <v>3</v>
      </c>
      <c r="E16" s="6">
        <f>Table24[[#This Row],[No. of leave taken]]/Table24[[#Totals],[No. of leave taken]]</f>
        <v>0.15789473684210525</v>
      </c>
    </row>
    <row r="17" spans="2:4">
      <c r="B17" t="s">
        <v>58</v>
      </c>
      <c r="D17">
        <f>SUM([No. of leave taken])</f>
        <v>19</v>
      </c>
    </row>
    <row r="19" spans="2:4">
      <c r="B19" s="27" t="s">
        <v>7</v>
      </c>
      <c r="C19" s="28" t="s">
        <v>56</v>
      </c>
      <c r="D19" s="29" t="s">
        <v>57</v>
      </c>
    </row>
    <row r="20" spans="2:4">
      <c r="B20" s="5" t="s">
        <v>8</v>
      </c>
      <c r="C20" s="2">
        <v>9</v>
      </c>
      <c r="D20" s="3">
        <f>C20/C24</f>
        <v>0.47368421052631576</v>
      </c>
    </row>
    <row r="21" spans="2:4">
      <c r="B21" s="5" t="s">
        <v>9</v>
      </c>
      <c r="C21" s="2">
        <v>5</v>
      </c>
      <c r="D21" s="3">
        <f>C21/C24</f>
        <v>0.26315789473684209</v>
      </c>
    </row>
    <row r="22" spans="2:4">
      <c r="B22" s="5" t="s">
        <v>10</v>
      </c>
      <c r="C22" s="2">
        <v>5</v>
      </c>
      <c r="D22" s="3">
        <f>C22/C24</f>
        <v>0.26315789473684209</v>
      </c>
    </row>
    <row r="24" spans="2:4">
      <c r="B24" s="44" t="s">
        <v>58</v>
      </c>
      <c r="C24" s="45">
        <f>SUM(C20:C22)</f>
        <v>19</v>
      </c>
    </row>
  </sheetData>
  <mergeCells count="1">
    <mergeCell ref="B2:E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 of employee performanc</vt:lpstr>
      <vt:lpstr>Employee 3 month enquiry detail</vt:lpstr>
      <vt:lpstr>Service wise quarterly detail</vt:lpstr>
      <vt:lpstr>Employee due-date task report</vt:lpstr>
      <vt:lpstr>Employee due-date task bifurcat</vt:lpstr>
      <vt:lpstr>Employee project ass. task</vt:lpstr>
      <vt:lpstr>Project ass. task bifurcation</vt:lpstr>
      <vt:lpstr>Employee Leave Detail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Bharti</cp:lastModifiedBy>
  <dcterms:created xsi:type="dcterms:W3CDTF">2019-07-15T11:34:02Z</dcterms:created>
  <dcterms:modified xsi:type="dcterms:W3CDTF">2019-07-23T05:18:38Z</dcterms:modified>
</cp:coreProperties>
</file>