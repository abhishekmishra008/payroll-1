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-PC\Desktop\"/>
    </mc:Choice>
  </mc:AlternateContent>
  <bookViews>
    <workbookView xWindow="0" yWindow="0" windowWidth="20460" windowHeight="7065"/>
  </bookViews>
  <sheets>
    <sheet name="2020-21" sheetId="1" r:id="rId1"/>
    <sheet name="2021-2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  <c r="E12" i="1"/>
  <c r="E19" i="1" l="1"/>
  <c r="E18" i="1"/>
  <c r="E17" i="1"/>
  <c r="E11" i="1"/>
  <c r="E10" i="1"/>
  <c r="F3" i="1"/>
  <c r="G3" i="1" s="1"/>
  <c r="E3" i="1"/>
  <c r="E4" i="1"/>
  <c r="F4" i="1" s="1"/>
  <c r="B4" i="1"/>
  <c r="G4" i="1" l="1"/>
  <c r="G19" i="1"/>
  <c r="F19" i="1"/>
  <c r="F18" i="1"/>
  <c r="G18" i="1" s="1"/>
  <c r="F17" i="1"/>
  <c r="G17" i="1" s="1"/>
  <c r="F11" i="1"/>
  <c r="G11" i="1" s="1"/>
  <c r="F10" i="1"/>
  <c r="G10" i="1" s="1"/>
</calcChain>
</file>

<file path=xl/sharedStrings.xml><?xml version="1.0" encoding="utf-8"?>
<sst xmlns="http://schemas.openxmlformats.org/spreadsheetml/2006/main" count="38" uniqueCount="18">
  <si>
    <t>Aerogen Medical Devices India Private Limited</t>
  </si>
  <si>
    <t>One time registration fees (EURO 100 per employee)</t>
  </si>
  <si>
    <t>Payroll service (EURO 20 per month per employee)</t>
  </si>
  <si>
    <t>Number of Months</t>
  </si>
  <si>
    <t>Total</t>
  </si>
  <si>
    <t>NA</t>
  </si>
  <si>
    <t>Director Fees</t>
  </si>
  <si>
    <t>Particulars</t>
  </si>
  <si>
    <t>GST</t>
  </si>
  <si>
    <t>Including GST</t>
  </si>
  <si>
    <t>Excluding GST</t>
  </si>
  <si>
    <t>UKEAS Education Consulting Private Limited</t>
  </si>
  <si>
    <t>ISRINGHAUSEN Engineering India Private Limited</t>
  </si>
  <si>
    <t xml:space="preserve">No. of Person </t>
  </si>
  <si>
    <t>Amount (USD)</t>
  </si>
  <si>
    <t>Amount (EURO)</t>
  </si>
  <si>
    <t>Director Fees (USD 250 Per director)</t>
  </si>
  <si>
    <t>Director Fees (EURO 1250)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</si>
</sst>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1" fillId="0" borderId="1" xfId="0" applyFont="1" applyFill="1" applyBorder="1" applyAlignment="1">
      <alignment horizontal="center"/>
    </xf>
    <xf numFmtId="0" fontId="2" fillId="0" borderId="0" xfId="0" applyFont="1"/>
    <xf numFmtId="1" fontId="2" fillId="0" borderId="1" xfId="0" applyNumberFormat="1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G12" sqref="G12"/>
    </sheetView>
  </sheetViews>
  <sheetFormatPr defaultRowHeight="15" x14ac:dyDescent="0.25"/>
  <cols>
    <col min="1" max="1" width="48.5703125" style="5" bestFit="1" customWidth="1"/>
    <col min="2" max="2" width="17.7109375" style="5" bestFit="1" customWidth="1"/>
    <col min="3" max="3" width="16.85546875" style="5" bestFit="1" customWidth="1"/>
    <col min="4" max="4" width="19" style="5" bestFit="1" customWidth="1"/>
    <col min="5" max="5" width="15.140625" style="5" bestFit="1" customWidth="1"/>
    <col min="6" max="6" width="9.140625" style="5"/>
    <col min="7" max="7" width="14.5703125" style="5" bestFit="1" customWidth="1"/>
    <col min="8" max="16384" width="9.140625" style="5"/>
  </cols>
  <sheetData>
    <row r="1" spans="1:7" x14ac:dyDescent="0.25">
      <c r="A1" s="7" t="s">
        <v>0</v>
      </c>
      <c r="B1" s="8"/>
      <c r="C1" s="8"/>
      <c r="D1" s="8"/>
      <c r="E1" s="8"/>
      <c r="F1" s="8"/>
      <c r="G1" s="9"/>
    </row>
    <row r="2" spans="1:7" x14ac:dyDescent="0.25">
      <c r="A2" s="1" t="s">
        <v>7</v>
      </c>
      <c r="B2" s="1" t="s">
        <v>13</v>
      </c>
      <c r="C2" s="1" t="s">
        <v>15</v>
      </c>
      <c r="D2" s="1" t="s">
        <v>3</v>
      </c>
      <c r="E2" s="1" t="s">
        <v>10</v>
      </c>
      <c r="F2" s="4" t="s">
        <v>8</v>
      </c>
      <c r="G2" s="4" t="s">
        <v>9</v>
      </c>
    </row>
    <row r="3" spans="1:7" x14ac:dyDescent="0.25">
      <c r="A3" s="2" t="s">
        <v>1</v>
      </c>
      <c r="B3" s="2">
        <v>9</v>
      </c>
      <c r="C3" s="2">
        <v>100</v>
      </c>
      <c r="D3" s="3" t="s">
        <v>5</v>
      </c>
      <c r="E3" s="2">
        <f>B3*C3</f>
        <v>900</v>
      </c>
      <c r="F3" s="2">
        <f>E3*18%</f>
        <v>162</v>
      </c>
      <c r="G3" s="2">
        <f>E3+F3</f>
        <v>1062</v>
      </c>
    </row>
    <row r="4" spans="1:7" x14ac:dyDescent="0.25">
      <c r="A4" s="2" t="s">
        <v>2</v>
      </c>
      <c r="B4" s="2">
        <f>9</f>
        <v>9</v>
      </c>
      <c r="C4" s="2">
        <v>20</v>
      </c>
      <c r="D4" s="2">
        <v>3</v>
      </c>
      <c r="E4" s="2">
        <f>B4*C4*D4</f>
        <v>540</v>
      </c>
      <c r="F4" s="6">
        <f>E4*18%</f>
        <v>97.2</v>
      </c>
      <c r="G4" s="6">
        <f>E4+F4</f>
        <v>637.20000000000005</v>
      </c>
    </row>
    <row r="5" spans="1:7" x14ac:dyDescent="0.25">
      <c r="A5" s="2" t="s">
        <v>6</v>
      </c>
      <c r="B5" s="2"/>
      <c r="C5" s="2"/>
      <c r="D5" s="2"/>
      <c r="E5" s="2"/>
      <c r="F5" s="2"/>
      <c r="G5" s="2"/>
    </row>
    <row r="6" spans="1:7" x14ac:dyDescent="0.25">
      <c r="A6" s="1" t="s">
        <v>4</v>
      </c>
      <c r="B6" s="2"/>
      <c r="C6" s="2"/>
      <c r="D6" s="2"/>
      <c r="E6" s="2"/>
      <c r="F6" s="2"/>
      <c r="G6" s="2"/>
    </row>
    <row r="8" spans="1:7" x14ac:dyDescent="0.25">
      <c r="A8" s="7" t="s">
        <v>12</v>
      </c>
      <c r="B8" s="8"/>
      <c r="C8" s="8"/>
      <c r="D8" s="8"/>
      <c r="E8" s="8"/>
      <c r="F8" s="8"/>
      <c r="G8" s="9"/>
    </row>
    <row r="9" spans="1:7" x14ac:dyDescent="0.25">
      <c r="A9" s="1" t="s">
        <v>7</v>
      </c>
      <c r="B9" s="1" t="s">
        <v>13</v>
      </c>
      <c r="C9" s="1" t="s">
        <v>15</v>
      </c>
      <c r="D9" s="1" t="s">
        <v>3</v>
      </c>
      <c r="E9" s="1" t="s">
        <v>10</v>
      </c>
      <c r="F9" s="4" t="s">
        <v>8</v>
      </c>
      <c r="G9" s="4" t="s">
        <v>9</v>
      </c>
    </row>
    <row r="10" spans="1:7" x14ac:dyDescent="0.25">
      <c r="A10" s="2" t="s">
        <v>1</v>
      </c>
      <c r="B10" s="2"/>
      <c r="C10" s="2"/>
      <c r="D10" s="3"/>
      <c r="E10" s="2">
        <f>B10*C10</f>
        <v>0</v>
      </c>
      <c r="F10" s="2">
        <f>E10*18%</f>
        <v>0</v>
      </c>
      <c r="G10" s="2">
        <f>E10+F10</f>
        <v>0</v>
      </c>
    </row>
    <row r="11" spans="1:7" x14ac:dyDescent="0.25">
      <c r="A11" s="2" t="s">
        <v>2</v>
      </c>
      <c r="B11" s="2"/>
      <c r="C11" s="2"/>
      <c r="D11" s="2"/>
      <c r="E11" s="2">
        <f>B11*C11*D11</f>
        <v>0</v>
      </c>
      <c r="F11" s="6">
        <f>E11*18%</f>
        <v>0</v>
      </c>
      <c r="G11" s="6">
        <f>E11+F11</f>
        <v>0</v>
      </c>
    </row>
    <row r="12" spans="1:7" x14ac:dyDescent="0.25">
      <c r="A12" s="2" t="s">
        <v>17</v>
      </c>
      <c r="B12" s="2">
        <v>1</v>
      </c>
      <c r="C12" s="2">
        <v>1250</v>
      </c>
      <c r="D12" s="2" t="s">
        <v>5</v>
      </c>
      <c r="E12" s="2">
        <f>B12*C12</f>
        <v>1250</v>
      </c>
      <c r="F12" s="2">
        <f>E12*18%</f>
        <v>225</v>
      </c>
      <c r="G12" s="2"/>
    </row>
    <row r="13" spans="1:7" x14ac:dyDescent="0.25">
      <c r="A13" s="1" t="s">
        <v>4</v>
      </c>
      <c r="B13" s="2"/>
      <c r="C13" s="2"/>
      <c r="D13" s="2"/>
      <c r="E13" s="2"/>
      <c r="F13" s="2"/>
      <c r="G13" s="2"/>
    </row>
    <row r="15" spans="1:7" x14ac:dyDescent="0.25">
      <c r="A15" s="7" t="s">
        <v>11</v>
      </c>
      <c r="B15" s="8"/>
      <c r="C15" s="8"/>
      <c r="D15" s="8"/>
      <c r="E15" s="8"/>
      <c r="F15" s="8"/>
      <c r="G15" s="9"/>
    </row>
    <row r="16" spans="1:7" x14ac:dyDescent="0.25">
      <c r="A16" s="1" t="s">
        <v>7</v>
      </c>
      <c r="B16" s="1" t="s">
        <v>13</v>
      </c>
      <c r="C16" s="1" t="s">
        <v>14</v>
      </c>
      <c r="D16" s="1" t="s">
        <v>3</v>
      </c>
      <c r="E16" s="1" t="s">
        <v>10</v>
      </c>
      <c r="F16" s="4" t="s">
        <v>8</v>
      </c>
      <c r="G16" s="4" t="s">
        <v>9</v>
      </c>
    </row>
    <row r="17" spans="1:7" x14ac:dyDescent="0.25">
      <c r="A17" s="2" t="s">
        <v>1</v>
      </c>
      <c r="B17" s="2"/>
      <c r="C17" s="2"/>
      <c r="D17" s="3"/>
      <c r="E17" s="2">
        <f>B17*C17</f>
        <v>0</v>
      </c>
      <c r="F17" s="2">
        <f>E17*18%</f>
        <v>0</v>
      </c>
      <c r="G17" s="2">
        <f>E17+F17</f>
        <v>0</v>
      </c>
    </row>
    <row r="18" spans="1:7" x14ac:dyDescent="0.25">
      <c r="A18" s="2" t="s">
        <v>2</v>
      </c>
      <c r="B18" s="2"/>
      <c r="C18" s="2"/>
      <c r="D18" s="2"/>
      <c r="E18" s="2">
        <f>B18*C18*D18</f>
        <v>0</v>
      </c>
      <c r="F18" s="6">
        <f>E18*18%</f>
        <v>0</v>
      </c>
      <c r="G18" s="6">
        <f>E18+F18</f>
        <v>0</v>
      </c>
    </row>
    <row r="19" spans="1:7" x14ac:dyDescent="0.25">
      <c r="A19" s="2" t="s">
        <v>16</v>
      </c>
      <c r="B19" s="2">
        <v>1</v>
      </c>
      <c r="C19" s="2">
        <v>250</v>
      </c>
      <c r="D19" s="2">
        <v>8</v>
      </c>
      <c r="E19" s="2">
        <f>B19*C19*D19</f>
        <v>2000</v>
      </c>
      <c r="F19" s="6">
        <f>E19*18%</f>
        <v>360</v>
      </c>
      <c r="G19" s="6">
        <f>E19+F19</f>
        <v>2360</v>
      </c>
    </row>
    <row r="20" spans="1:7" x14ac:dyDescent="0.25">
      <c r="A20" s="1" t="s">
        <v>4</v>
      </c>
      <c r="B20" s="2"/>
      <c r="C20" s="2"/>
      <c r="D20" s="2"/>
      <c r="E20" s="2"/>
      <c r="F20" s="2"/>
      <c r="G20" s="2"/>
    </row>
  </sheetData>
  <mergeCells count="3">
    <mergeCell ref="A1:G1"/>
    <mergeCell ref="A8:G8"/>
    <mergeCell ref="A15:G1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6" sqref="F1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2020-21</vt:lpstr>
      <vt:lpstr>2021-22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DELL-PC</dc:creator>
  <cp:lastModifiedBy>DELL-PC</cp:lastModifiedBy>
  <cp:lastPrinted>2021-04-02T13:20:28Z</cp:lastPrinted>
  <dcterms:created xsi:type="dcterms:W3CDTF">2021-04-02T13:13:23Z</dcterms:created>
  <dcterms:modified xsi:type="dcterms:W3CDTF">2021-04-05T12:38:32Z</dcterms:modified>
</cp:coreProperties>
</file>